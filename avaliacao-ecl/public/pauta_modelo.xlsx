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UTA DE DISCIPLINA" sheetId="1" state="visible" r:id="rId1"/>
  </sheets>
  <definedNames>
    <definedName name="_xlnm.Print_Area" localSheetId="0">'PAUTA DE DISCIPLINA'!$A$1:$AH$41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Arial Narrow"/>
      <color rgb="00666699"/>
      <sz val="8"/>
    </font>
    <font>
      <name val="Tahoma"/>
      <b val="1"/>
      <color rgb="00666699"/>
      <sz val="14"/>
    </font>
    <font>
      <name val="Cambria"/>
      <color rgb="00000000"/>
      <sz val="11"/>
    </font>
    <font>
      <name val="Arial Narrow"/>
      <b val="1"/>
      <color rgb="00333399"/>
      <sz val="8"/>
    </font>
    <font>
      <name val="Arial"/>
      <color rgb="00000000"/>
      <sz val="10"/>
    </font>
    <font>
      <name val="Arial Narrow"/>
      <color rgb="00000000"/>
      <sz val="8"/>
    </font>
    <font>
      <name val="Arial Narrow"/>
      <color rgb="00333399"/>
      <sz val="8"/>
    </font>
    <font>
      <name val="Arial Narrow"/>
      <b val="1"/>
      <color rgb="00666699"/>
      <sz val="8"/>
    </font>
    <font>
      <name val="Arial Narrow"/>
      <b val="1"/>
      <color rgb="00FFFFFF"/>
      <sz val="10"/>
    </font>
    <font>
      <name val="Arial Narrow"/>
      <b val="1"/>
      <color rgb="00666699"/>
      <sz val="9"/>
    </font>
    <font>
      <name val="Arial Narrow"/>
      <b val="1"/>
      <color rgb="00666699"/>
      <sz val="6"/>
    </font>
    <font>
      <name val="Arial Narrow"/>
      <color rgb="00000000"/>
      <sz val="9"/>
    </font>
    <font>
      <name val="Arial Narrow"/>
      <b val="1"/>
      <color rgb="00000000"/>
      <sz val="8"/>
    </font>
    <font>
      <name val="Arial Narrow"/>
      <color rgb="00000000"/>
      <sz val="7"/>
    </font>
    <font>
      <name val="Arial Narrow"/>
      <b val="1"/>
      <color rgb="00000000"/>
      <sz val="9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FABF8F"/>
      </patternFill>
    </fill>
    <fill>
      <patternFill patternType="solid">
        <fgColor rgb="00DBE5F1"/>
      </patternFill>
    </fill>
    <fill>
      <patternFill patternType="solid">
        <fgColor rgb="00FFFFFF"/>
      </patternFill>
    </fill>
    <fill>
      <patternFill patternType="solid">
        <fgColor rgb="00CCFFFF"/>
      </patternFill>
    </fill>
    <fill>
      <patternFill patternType="solid">
        <fgColor rgb="00C0C0C0"/>
      </patternFill>
    </fill>
  </fills>
  <borders count="57">
    <border>
      <left/>
      <right/>
      <top/>
      <bottom/>
      <diagonal/>
    </border>
    <border>
      <left/>
      <right/>
      <top/>
      <bottom/>
    </border>
    <border>
      <left/>
      <right/>
      <top/>
      <bottom style="medium">
        <color rgb="00008080"/>
      </bottom>
    </border>
    <border>
      <left/>
      <right/>
      <top style="medium">
        <color rgb="0000808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8080"/>
      </left>
      <right style="medium">
        <color rgb="00008080"/>
      </right>
      <top style="medium">
        <color rgb="00008080"/>
      </top>
      <bottom style="medium">
        <color rgb="00008080"/>
      </bottom>
    </border>
    <border>
      <left/>
      <right style="medium">
        <color rgb="00008080"/>
      </right>
      <top style="medium">
        <color rgb="00008080"/>
      </top>
      <bottom style="medium">
        <color rgb="00008080"/>
      </bottom>
    </border>
    <border>
      <left style="medium">
        <color rgb="00008080"/>
      </left>
      <right/>
      <top/>
      <bottom style="medium">
        <color rgb="0000808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medium">
        <color rgb="00008080"/>
      </top>
      <bottom style="medium">
        <color rgb="00008080"/>
      </bottom>
    </border>
    <border>
      <left/>
      <right style="medium">
        <color rgb="00008080"/>
      </right>
      <top style="medium">
        <color rgb="00008080"/>
      </top>
      <bottom/>
    </border>
    <border>
      <left style="medium">
        <color rgb="00008080"/>
      </left>
      <right style="medium">
        <color rgb="00008080"/>
      </right>
      <top/>
      <bottom/>
    </border>
    <border>
      <left style="medium">
        <color rgb="00008080"/>
      </left>
      <right/>
      <top/>
      <bottom/>
    </border>
    <border>
      <left/>
      <right style="medium">
        <color rgb="00008080"/>
      </right>
      <top/>
      <bottom/>
    </border>
    <border>
      <left style="medium">
        <color rgb="00008080"/>
      </left>
      <right style="medium">
        <color rgb="00008080"/>
      </right>
      <top/>
      <bottom style="medium">
        <color rgb="00008080"/>
      </bottom>
    </border>
    <border>
      <left style="medium">
        <color rgb="00008080"/>
      </left>
      <right/>
      <top style="medium">
        <color rgb="00008080"/>
      </top>
      <bottom style="medium">
        <color rgb="00008080"/>
      </bottom>
    </border>
    <border>
      <left/>
      <right style="medium">
        <color rgb="00008080"/>
      </right>
      <top/>
      <bottom style="medium">
        <color rgb="00008080"/>
      </bottom>
    </border>
    <border>
      <left style="medium">
        <color rgb="00008080"/>
      </left>
      <right style="medium">
        <color rgb="00008080"/>
      </right>
      <top style="medium">
        <color rgb="00008080"/>
      </top>
      <bottom/>
    </border>
    <border>
      <left/>
      <right style="medium">
        <color rgb="00008080"/>
      </right>
      <top style="medium">
        <color rgb="00008080"/>
      </top>
      <bottom style="thin">
        <color rgb="00008080"/>
      </bottom>
    </border>
    <border>
      <left style="medium">
        <color rgb="00008080"/>
      </left>
      <right style="medium">
        <color rgb="00008080"/>
      </right>
      <top style="medium">
        <color rgb="00008080"/>
      </top>
      <bottom style="thin">
        <color rgb="00008080"/>
      </bottom>
    </border>
    <border>
      <left/>
      <right/>
      <top style="medium">
        <color rgb="00008080"/>
      </top>
      <bottom style="thin">
        <color rgb="00008080"/>
      </bottom>
    </border>
    <border>
      <left style="thin">
        <color rgb="00008080"/>
      </left>
      <right style="medium">
        <color rgb="00008080"/>
      </right>
      <top style="thin">
        <color rgb="00008080"/>
      </top>
      <bottom style="thin">
        <color rgb="00008080"/>
      </bottom>
    </border>
    <border>
      <left style="thin">
        <color rgb="00008080"/>
      </left>
      <right style="medium">
        <color rgb="00008080"/>
      </right>
      <top style="medium">
        <color rgb="00008080"/>
      </top>
      <bottom style="thin">
        <color rgb="00008080"/>
      </bottom>
    </border>
    <border>
      <left style="thin">
        <color rgb="00008080"/>
      </left>
      <right style="medium">
        <color rgb="00008080"/>
      </right>
      <top style="medium">
        <color rgb="00008080"/>
      </top>
      <bottom/>
    </border>
    <border>
      <left/>
      <right style="thin">
        <color rgb="00333300"/>
      </right>
      <top style="medium">
        <color rgb="00008080"/>
      </top>
      <bottom style="thin">
        <color rgb="00008080"/>
      </bottom>
    </border>
    <border>
      <left style="thin">
        <color rgb="00008080"/>
      </left>
      <right/>
      <top style="medium">
        <color rgb="00008080"/>
      </top>
      <bottom style="thin">
        <color rgb="00008080"/>
      </bottom>
    </border>
    <border>
      <left/>
      <right style="medium">
        <color rgb="00008080"/>
      </right>
      <top style="thin">
        <color rgb="00008080"/>
      </top>
      <bottom style="thin">
        <color rgb="00008080"/>
      </bottom>
    </border>
    <border>
      <left style="medium">
        <color rgb="00008080"/>
      </left>
      <right style="medium">
        <color rgb="00008080"/>
      </right>
      <top style="thin">
        <color rgb="00008080"/>
      </top>
      <bottom style="thin">
        <color rgb="00008080"/>
      </bottom>
    </border>
    <border>
      <left/>
      <right/>
      <top style="thin">
        <color rgb="00008080"/>
      </top>
      <bottom style="thin">
        <color rgb="00008080"/>
      </bottom>
    </border>
    <border>
      <left style="medium">
        <color rgb="00008080"/>
      </left>
      <right/>
      <top style="thin">
        <color rgb="00008080"/>
      </top>
      <bottom style="thin">
        <color rgb="00008080"/>
      </bottom>
    </border>
    <border>
      <left/>
      <right style="thin">
        <color rgb="00333300"/>
      </right>
      <top style="thin">
        <color rgb="00008080"/>
      </top>
      <bottom style="thin">
        <color rgb="00008080"/>
      </bottom>
    </border>
    <border>
      <left style="thin">
        <color rgb="00008080"/>
      </left>
      <right/>
      <top style="thin">
        <color rgb="00008080"/>
      </top>
      <bottom style="thin">
        <color rgb="00008080"/>
      </bottom>
    </border>
    <border>
      <left style="medium">
        <color rgb="00008080"/>
      </left>
      <right style="medium">
        <color rgb="00008080"/>
      </right>
      <top style="thin">
        <color rgb="00008080"/>
      </top>
      <bottom style="medium">
        <color rgb="00008080"/>
      </bottom>
    </border>
    <border>
      <left/>
      <right style="medium">
        <color rgb="00008080"/>
      </right>
      <top style="thin">
        <color rgb="00008080"/>
      </top>
      <bottom style="medium">
        <color rgb="00008080"/>
      </bottom>
    </border>
    <border>
      <left/>
      <right/>
      <top/>
      <bottom style="medium">
        <color rgb="00008080"/>
      </bottom>
      <diagonal/>
    </border>
    <border>
      <left/>
      <right/>
      <top style="medium">
        <color rgb="0000808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medium">
        <color rgb="00008080"/>
      </right>
      <top style="medium">
        <color rgb="00008080"/>
      </top>
      <bottom/>
      <diagonal/>
    </border>
    <border>
      <left/>
      <right style="medium">
        <color rgb="00008080"/>
      </right>
      <top style="medium">
        <color rgb="00008080"/>
      </top>
      <bottom style="medium">
        <color rgb="00008080"/>
      </bottom>
      <diagonal/>
    </border>
    <border>
      <left style="medium">
        <color rgb="00008080"/>
      </left>
      <right/>
      <top/>
      <bottom/>
      <diagonal/>
    </border>
    <border>
      <left style="medium">
        <color rgb="00008080"/>
      </left>
      <right style="medium">
        <color rgb="00008080"/>
      </right>
      <top/>
      <bottom/>
      <diagonal/>
    </border>
    <border>
      <left style="medium">
        <color rgb="00008080"/>
      </left>
      <right style="medium">
        <color rgb="00008080"/>
      </right>
      <top/>
      <bottom style="medium">
        <color rgb="00008080"/>
      </bottom>
      <diagonal/>
    </border>
    <border>
      <left/>
      <right/>
      <top style="medium">
        <color rgb="00008080"/>
      </top>
      <bottom style="medium">
        <color rgb="00008080"/>
      </bottom>
      <diagonal/>
    </border>
    <border>
      <left/>
      <right style="medium">
        <color rgb="00008080"/>
      </right>
      <top/>
      <bottom/>
      <diagonal/>
    </border>
    <border>
      <left style="medium">
        <color rgb="00008080"/>
      </left>
      <right/>
      <top/>
      <bottom style="medium">
        <color rgb="00008080"/>
      </bottom>
      <diagonal/>
    </border>
    <border>
      <left/>
      <right style="medium">
        <color rgb="00008080"/>
      </right>
      <top/>
      <bottom style="medium">
        <color rgb="00008080"/>
      </bottom>
      <diagonal/>
    </border>
    <border>
      <left/>
      <right/>
      <top style="thin">
        <color rgb="00008080"/>
      </top>
      <bottom/>
      <diagonal/>
    </border>
    <border>
      <left/>
      <right style="medium">
        <color rgb="00008080"/>
      </right>
      <top style="thin">
        <color rgb="00008080"/>
      </top>
      <bottom/>
      <diagonal/>
    </border>
    <border>
      <left/>
      <right/>
      <top style="thin">
        <color rgb="00008080"/>
      </top>
      <bottom style="thin">
        <color rgb="00008080"/>
      </bottom>
      <diagonal/>
    </border>
    <border>
      <left/>
      <right style="medium">
        <color rgb="00008080"/>
      </right>
      <top style="thin">
        <color rgb="00008080"/>
      </top>
      <bottom style="thin">
        <color rgb="00008080"/>
      </bottom>
      <diagonal/>
    </border>
    <border>
      <left/>
      <right style="medium">
        <color rgb="00008080"/>
      </right>
      <top style="medium">
        <color rgb="00008080"/>
      </top>
      <bottom style="thin">
        <color rgb="00008080"/>
      </bottom>
      <diagonal/>
    </border>
    <border>
      <left/>
      <right style="medium">
        <color rgb="00008080"/>
      </right>
      <top style="thin">
        <color rgb="00008080"/>
      </top>
      <bottom style="medium">
        <color rgb="00008080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vertical="bottom"/>
    </xf>
    <xf numFmtId="0" fontId="1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0" fillId="0" borderId="36" pivotButton="0" quotePrefix="0" xfId="0"/>
    <xf numFmtId="0" fontId="9" fillId="3" borderId="3" applyAlignment="1" pivotButton="0" quotePrefix="0" xfId="0">
      <alignment horizontal="center" vertical="center"/>
    </xf>
    <xf numFmtId="0" fontId="0" fillId="0" borderId="37" pivotButton="0" quotePrefix="0" xfId="0"/>
    <xf numFmtId="0" fontId="4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4" borderId="4" applyAlignment="1" pivotButton="0" quotePrefix="0" xfId="0">
      <alignment vertical="bottom"/>
    </xf>
    <xf numFmtId="0" fontId="6" fillId="0" borderId="4" applyAlignment="1" pivotButton="0" quotePrefix="0" xfId="0">
      <alignment vertical="center"/>
    </xf>
    <xf numFmtId="0" fontId="0" fillId="0" borderId="40" pivotButton="0" quotePrefix="0" xfId="0"/>
    <xf numFmtId="0" fontId="0" fillId="0" borderId="41" pivotButton="0" quotePrefix="0" xfId="0"/>
    <xf numFmtId="0" fontId="8" fillId="2" borderId="7" applyAlignment="1" pivotButton="0" quotePrefix="0" xfId="0">
      <alignment horizontal="center" vertical="center" wrapText="1"/>
    </xf>
    <xf numFmtId="0" fontId="0" fillId="0" borderId="43" pivotButton="0" quotePrefix="0" xfId="0"/>
    <xf numFmtId="0" fontId="8" fillId="5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vertical="bottom"/>
    </xf>
    <xf numFmtId="9" fontId="8" fillId="0" borderId="7" applyAlignment="1" pivotButton="0" quotePrefix="0" xfId="0">
      <alignment horizontal="center" vertical="center"/>
    </xf>
    <xf numFmtId="9" fontId="8" fillId="2" borderId="7" applyAlignment="1" pivotButton="0" quotePrefix="0" xfId="0">
      <alignment vertical="bottom"/>
    </xf>
    <xf numFmtId="0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vertical="bottom"/>
    </xf>
    <xf numFmtId="0" fontId="6" fillId="4" borderId="10" applyAlignment="1" pivotButton="0" quotePrefix="0" xfId="0">
      <alignment vertical="bottom"/>
    </xf>
    <xf numFmtId="0" fontId="6" fillId="0" borderId="4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0" fillId="0" borderId="47" pivotButton="0" quotePrefix="0" xfId="0"/>
    <xf numFmtId="0" fontId="11" fillId="2" borderId="7" applyAlignment="1" pivotButton="0" quotePrefix="0" xfId="0">
      <alignment horizontal="center" vertical="center" wrapText="1"/>
    </xf>
    <xf numFmtId="0" fontId="0" fillId="0" borderId="42" pivotButton="0" quotePrefix="0" xfId="0"/>
    <xf numFmtId="0" fontId="8" fillId="2" borderId="7" applyAlignment="1" pivotButton="0" quotePrefix="0" xfId="0">
      <alignment horizontal="center" vertical="center" textRotation="90" wrapText="1"/>
    </xf>
    <xf numFmtId="0" fontId="0" fillId="0" borderId="45" pivotButton="0" quotePrefix="0" xfId="0"/>
    <xf numFmtId="0" fontId="0" fillId="0" borderId="44" pivotButton="0" quotePrefix="0" xfId="0"/>
    <xf numFmtId="0" fontId="0" fillId="0" borderId="48" pivotButton="0" quotePrefix="0" xfId="0"/>
    <xf numFmtId="0" fontId="0" fillId="0" borderId="46" pivotButton="0" quotePrefix="0" xfId="0"/>
    <xf numFmtId="0" fontId="8" fillId="2" borderId="17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9" fontId="8" fillId="0" borderId="19" applyAlignment="1" pivotButton="0" quotePrefix="0" xfId="0">
      <alignment horizontal="center" vertical="center"/>
    </xf>
    <xf numFmtId="9" fontId="8" fillId="0" borderId="3" applyAlignment="1" pivotButton="0" quotePrefix="0" xfId="0">
      <alignment horizontal="center" vertical="center"/>
    </xf>
    <xf numFmtId="1" fontId="12" fillId="0" borderId="4" applyAlignment="1" pivotButton="0" quotePrefix="0" xfId="0">
      <alignment vertical="bottom"/>
    </xf>
    <xf numFmtId="0" fontId="13" fillId="0" borderId="20" applyAlignment="1" pivotButton="0" quotePrefix="0" xfId="0">
      <alignment horizontal="center" vertical="center" wrapText="1"/>
    </xf>
    <xf numFmtId="1" fontId="13" fillId="6" borderId="21" applyAlignment="1" pivotButton="0" quotePrefix="0" xfId="0">
      <alignment horizontal="center" vertical="center"/>
    </xf>
    <xf numFmtId="164" fontId="6" fillId="0" borderId="22" applyAlignment="1" pivotButton="0" quotePrefix="0" xfId="0">
      <alignment horizontal="center" vertical="center"/>
    </xf>
    <xf numFmtId="0" fontId="13" fillId="7" borderId="23" applyAlignment="1" pivotButton="0" quotePrefix="0" xfId="0">
      <alignment horizontal="center" vertical="center"/>
    </xf>
    <xf numFmtId="0" fontId="13" fillId="7" borderId="24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13" fillId="7" borderId="25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0" fontId="13" fillId="7" borderId="2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" fontId="13" fillId="6" borderId="4" applyAlignment="1" pivotButton="0" quotePrefix="0" xfId="0">
      <alignment horizontal="center" vertical="center"/>
    </xf>
    <xf numFmtId="1" fontId="13" fillId="0" borderId="4" applyAlignment="1" pivotButton="0" quotePrefix="0" xfId="0">
      <alignment horizontal="center" vertical="center"/>
    </xf>
    <xf numFmtId="1" fontId="13" fillId="6" borderId="28" applyAlignment="1" pivotButton="0" quotePrefix="0" xfId="0">
      <alignment horizontal="center" vertical="center"/>
    </xf>
    <xf numFmtId="0" fontId="13" fillId="6" borderId="29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14" fillId="0" borderId="21" applyAlignment="1" pivotButton="0" quotePrefix="0" xfId="0">
      <alignment horizontal="center" vertical="center" wrapText="1"/>
    </xf>
    <xf numFmtId="0" fontId="0" fillId="0" borderId="55" pivotButton="0" quotePrefix="0" xfId="0"/>
    <xf numFmtId="0" fontId="15" fillId="0" borderId="21" applyAlignment="1" pivotButton="0" quotePrefix="0" xfId="0">
      <alignment horizontal="center" vertical="center" wrapText="1"/>
    </xf>
    <xf numFmtId="1" fontId="13" fillId="6" borderId="29" applyAlignment="1" pivotButton="0" quotePrefix="0" xfId="0">
      <alignment horizontal="center" vertical="center"/>
    </xf>
    <xf numFmtId="164" fontId="6" fillId="0" borderId="30" applyAlignment="1" pivotButton="0" quotePrefix="0" xfId="0">
      <alignment horizontal="center" vertical="center"/>
    </xf>
    <xf numFmtId="164" fontId="6" fillId="0" borderId="31" applyAlignment="1" pivotButton="0" quotePrefix="0" xfId="0">
      <alignment horizontal="center" vertical="center"/>
    </xf>
    <xf numFmtId="164" fontId="6" fillId="0" borderId="32" applyAlignment="1" pivotButton="0" quotePrefix="0" xfId="0">
      <alignment horizontal="center" vertical="center"/>
    </xf>
    <xf numFmtId="0" fontId="13" fillId="7" borderId="33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 vertical="center" wrapText="1"/>
    </xf>
    <xf numFmtId="0" fontId="5" fillId="0" borderId="28" applyAlignment="1" pivotButton="0" quotePrefix="0" xfId="0">
      <alignment vertical="bottom"/>
    </xf>
    <xf numFmtId="0" fontId="15" fillId="0" borderId="34" applyAlignment="1" pivotButton="0" quotePrefix="0" xfId="0">
      <alignment horizontal="center" vertical="center" wrapText="1"/>
    </xf>
    <xf numFmtId="0" fontId="0" fillId="0" borderId="56" pivotButton="0" quotePrefix="0" xfId="0"/>
    <xf numFmtId="164" fontId="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bottom"/>
    </xf>
    <xf numFmtId="0" fontId="13" fillId="0" borderId="1" applyAlignment="1" pivotButton="0" quotePrefix="0" xfId="0">
      <alignment horizontal="center" vertical="center" wrapText="1"/>
    </xf>
    <xf numFmtId="1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1"/>
  <sheetViews>
    <sheetView workbookViewId="0">
      <selection activeCell="A1" sqref="A1"/>
    </sheetView>
  </sheetViews>
  <sheetFormatPr baseColWidth="8" defaultRowHeight="15"/>
  <cols>
    <col width="6.88" customWidth="1" min="1" max="1"/>
    <col width="33.34" customWidth="1" min="2" max="2"/>
    <col width="5.3" customWidth="1" min="3" max="3"/>
    <col width="5.16" customWidth="1" min="4" max="4"/>
    <col width="4.37" customWidth="1" min="5" max="5"/>
    <col width="4.37" customWidth="1" min="6" max="6"/>
    <col width="4.37" customWidth="1" min="7" max="7"/>
    <col width="4.37" customWidth="1" min="8" max="8"/>
    <col width="4.37" customWidth="1" min="9" max="9"/>
    <col width="4.37" customWidth="1" min="10" max="10"/>
    <col width="4.37" customWidth="1" min="11" max="11"/>
    <col width="4.37" customWidth="1" min="12" max="12"/>
    <col width="4.37" customWidth="1" min="13" max="13"/>
    <col width="4.37" customWidth="1" min="14" max="14"/>
    <col width="4.37" customWidth="1" min="15" max="15"/>
    <col width="4.37" customWidth="1" min="16" max="16"/>
    <col width="5.43" customWidth="1" min="17" max="17"/>
    <col width="4.37" customWidth="1" min="18" max="18"/>
    <col width="4.37" customWidth="1" min="19" max="19"/>
    <col width="3.05" customWidth="1" min="20" max="20"/>
    <col width="4.37" customWidth="1" min="21" max="21"/>
    <col width="4.37" customWidth="1" min="22" max="22"/>
    <col width="4.37" customWidth="1" min="23" max="23"/>
    <col width="4.37" customWidth="1" min="24" max="24"/>
    <col width="3.7" customWidth="1" min="25" max="25"/>
    <col width="2.65" customWidth="1" min="26" max="26"/>
    <col width="5.82" customWidth="1" min="27" max="27"/>
    <col width="2.65" customWidth="1" min="28" max="28"/>
    <col width="2.65" customWidth="1" min="29" max="29"/>
    <col width="2.65" customWidth="1" min="30" max="30"/>
    <col width="2.65" customWidth="1" min="31" max="31"/>
    <col width="2.65" customWidth="1" min="32" max="32"/>
    <col width="2.65" customWidth="1" min="33" max="33"/>
    <col width="2.65" customWidth="1" min="34" max="34"/>
  </cols>
  <sheetData>
    <row r="1" ht="18" customHeight="1">
      <c r="A1" s="1" t="n"/>
      <c r="B1" s="1" t="n"/>
      <c r="C1" s="2" t="inlineStr">
        <is>
          <t>PAUTA DE AVALIAÇÃO: MÓDULO / UFCD</t>
        </is>
      </c>
      <c r="Y1" s="3" t="inlineStr">
        <is>
          <t>Ano/Turma:</t>
        </is>
      </c>
      <c r="AB1" s="4" t="inlineStr">
        <is>
          <t>2º ACP</t>
        </is>
      </c>
    </row>
    <row r="2" ht="19.5" customHeight="1">
      <c r="A2" s="1" t="n"/>
      <c r="B2" s="1" t="n"/>
      <c r="Y2" s="3" t="inlineStr">
        <is>
          <t>Disciplina:</t>
        </is>
      </c>
      <c r="AB2" s="4" t="inlineStr">
        <is>
          <t>SCP — Serviços de Cozinha-Pastelaria</t>
        </is>
      </c>
    </row>
    <row r="3" ht="12.76" customHeight="1">
      <c r="A3" s="1" t="n"/>
      <c r="B3" s="1" t="n"/>
      <c r="Y3" s="3" t="inlineStr">
        <is>
          <t>Formador(a):</t>
        </is>
      </c>
      <c r="AB3" s="4" t="inlineStr">
        <is>
          <t>Rosa Almeida</t>
        </is>
      </c>
    </row>
    <row r="4" ht="12.76" customHeight="1">
      <c r="A4" s="1" t="n"/>
      <c r="B4" s="1" t="n"/>
      <c r="C4" s="5" t="n"/>
      <c r="D4" s="5" t="n"/>
      <c r="E4" s="6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  <c r="T4" s="5" t="n"/>
      <c r="U4" s="7" t="n"/>
      <c r="V4" s="7" t="n"/>
      <c r="W4" s="7" t="n"/>
      <c r="X4" s="7" t="n"/>
      <c r="Y4" s="8" t="n"/>
      <c r="Z4" s="8" t="n"/>
      <c r="AA4" s="8" t="n"/>
      <c r="AB4" s="9" t="n"/>
      <c r="AC4" s="9" t="n"/>
      <c r="AD4" s="9" t="n"/>
      <c r="AE4" s="9" t="n"/>
      <c r="AF4" s="9" t="n"/>
      <c r="AG4" s="9" t="n"/>
      <c r="AH4" s="9" t="n"/>
    </row>
    <row r="5" ht="35.26" customHeight="1">
      <c r="A5" s="1" t="n"/>
      <c r="B5" s="1" t="n"/>
      <c r="C5" s="10" t="inlineStr">
        <is>
          <t>SÍMBOLOS A UTILIZAR: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3" t="inlineStr">
        <is>
          <t>Módulo / UFCD:</t>
        </is>
      </c>
      <c r="AB5" s="4" t="inlineStr">
        <is>
          <t>UC03577 — Preparar e confecionar molhos e fundos de cozinha</t>
        </is>
      </c>
    </row>
    <row r="6" ht="13.49" customHeight="1">
      <c r="A6" s="1" t="n"/>
      <c r="B6" s="1" t="n"/>
      <c r="C6" s="12" t="inlineStr">
        <is>
          <t xml:space="preserve">0 - N.R./N.O. 2 - Insuficiente 4 - Suficiente 5 - Bom 6 - Muito bom 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3" t="inlineStr">
        <is>
          <t>Datas:</t>
        </is>
      </c>
      <c r="AB6" s="14" t="inlineStr">
        <is>
          <t>03/06/2026</t>
        </is>
      </c>
      <c r="AE6" s="15" t="inlineStr">
        <is>
          <t>a</t>
        </is>
      </c>
      <c r="AF6" s="16" t="inlineStr">
        <is>
          <t>10/07/2026</t>
        </is>
      </c>
    </row>
    <row r="7" ht="12.76" customHeight="1">
      <c r="A7" s="1" t="n"/>
      <c r="B7" s="1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17" t="inlineStr">
        <is>
          <t>CM</t>
        </is>
      </c>
      <c r="T7" s="18" t="inlineStr">
        <is>
          <t>Comprometido</t>
        </is>
      </c>
      <c r="U7" s="19" t="n"/>
      <c r="V7" s="20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 ht="12.76" customHeight="1">
      <c r="A8" s="1" t="n"/>
      <c r="B8" s="1" t="n"/>
      <c r="C8" s="5" t="n"/>
      <c r="D8" s="5" t="n"/>
      <c r="E8" s="5" t="n"/>
      <c r="F8" s="5" t="n"/>
      <c r="G8" s="5" t="n"/>
      <c r="H8" s="21" t="inlineStr">
        <is>
          <t>Produtos</t>
        </is>
      </c>
      <c r="I8" s="22" t="n"/>
      <c r="J8" s="23" t="n">
        <v>1</v>
      </c>
      <c r="K8" s="24" t="n">
        <v>2</v>
      </c>
      <c r="L8" s="24" t="n">
        <v>3</v>
      </c>
      <c r="M8" s="24" t="n">
        <v>4</v>
      </c>
      <c r="N8" s="24" t="n">
        <v>5</v>
      </c>
      <c r="O8" s="24" t="n">
        <v>6</v>
      </c>
      <c r="P8" s="24" t="n">
        <v>7</v>
      </c>
      <c r="Q8" s="25" t="n"/>
      <c r="R8" s="5" t="n"/>
      <c r="S8" s="17" t="inlineStr">
        <is>
          <t xml:space="preserve">CP </t>
        </is>
      </c>
      <c r="T8" s="18" t="inlineStr">
        <is>
          <t>Competente</t>
        </is>
      </c>
      <c r="U8" s="19" t="n"/>
      <c r="V8" s="20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 ht="12.76" customHeight="1">
      <c r="A9" s="1" t="n"/>
      <c r="B9" s="1" t="n"/>
      <c r="C9" s="5" t="n"/>
      <c r="D9" s="5" t="n"/>
      <c r="E9" s="5" t="n"/>
      <c r="F9" s="5" t="n"/>
      <c r="G9" s="5" t="n"/>
      <c r="H9" s="21" t="inlineStr">
        <is>
          <t>%</t>
        </is>
      </c>
      <c r="I9" s="22" t="n"/>
      <c r="J9" s="26" t="n">
        <v>0.5</v>
      </c>
      <c r="K9" s="26" t="n">
        <v>0.33</v>
      </c>
      <c r="L9" s="26" t="n">
        <v>0.17</v>
      </c>
      <c r="M9" s="26" t="n">
        <v>0</v>
      </c>
      <c r="N9" s="26" t="n">
        <v>0</v>
      </c>
      <c r="O9" s="26" t="n">
        <v>0</v>
      </c>
      <c r="P9" s="26" t="n">
        <v>0</v>
      </c>
      <c r="Q9" s="27">
        <f>SUM(J9:P9)</f>
        <v/>
      </c>
      <c r="R9" s="5" t="n"/>
      <c r="S9" s="17" t="inlineStr">
        <is>
          <t>CL</t>
        </is>
      </c>
      <c r="T9" s="18" t="inlineStr">
        <is>
          <t>Colaborativo</t>
        </is>
      </c>
      <c r="U9" s="19" t="n"/>
      <c r="V9" s="20" t="n"/>
      <c r="W9" s="5" t="n"/>
      <c r="X9" s="5" t="n"/>
      <c r="Y9" s="5" t="inlineStr">
        <is>
          <t>Total Pond - Total de ponderação</t>
        </is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 ht="12.76" customHeight="1">
      <c r="A10" s="1" t="n"/>
      <c r="B10" s="1" t="n"/>
      <c r="C10" s="5" t="n"/>
      <c r="D10" s="5" t="n"/>
      <c r="E10" s="5" t="n"/>
      <c r="F10" s="5" t="n"/>
      <c r="G10" s="5" t="n"/>
      <c r="H10" s="28" t="n"/>
      <c r="J10" s="29" t="n"/>
      <c r="K10" s="29" t="n"/>
      <c r="L10" s="29" t="n"/>
      <c r="M10" s="29" t="n"/>
      <c r="N10" s="29" t="n"/>
      <c r="O10" s="29" t="n"/>
      <c r="P10" s="29" t="n"/>
      <c r="Q10" s="30" t="n"/>
      <c r="R10" s="5" t="n"/>
      <c r="S10" s="17" t="inlineStr">
        <is>
          <t>CO</t>
        </is>
      </c>
      <c r="T10" s="18" t="inlineStr">
        <is>
          <t>Consciente</t>
        </is>
      </c>
      <c r="U10" s="19" t="n"/>
      <c r="V10" s="20" t="n"/>
      <c r="W10" s="5" t="n"/>
      <c r="X10" s="5" t="n"/>
      <c r="Y10" s="5" t="inlineStr">
        <is>
          <t>N - Nível</t>
        </is>
      </c>
      <c r="Z10" s="5" t="n"/>
      <c r="AA10" s="5" t="n">
        <v>2</v>
      </c>
      <c r="AB10" s="5" t="n"/>
      <c r="AC10" s="5" t="n"/>
      <c r="AD10" s="5" t="n"/>
      <c r="AE10" s="5" t="n"/>
      <c r="AF10" s="5" t="n"/>
      <c r="AG10" s="5" t="n"/>
      <c r="AH10" s="5" t="n"/>
    </row>
    <row r="11" ht="12.76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31" t="inlineStr">
        <is>
          <t>CR</t>
        </is>
      </c>
      <c r="T11" s="32" t="inlineStr">
        <is>
          <t>Criativo</t>
        </is>
      </c>
      <c r="U11" s="19" t="n"/>
      <c r="V11" s="20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 ht="25.51" customHeight="1">
      <c r="A12" s="33" t="inlineStr">
        <is>
          <t>Nº</t>
        </is>
      </c>
      <c r="B12" s="33" t="inlineStr">
        <is>
          <t>NOME</t>
        </is>
      </c>
      <c r="C12" s="21" t="inlineStr">
        <is>
          <t>ATIV.</t>
        </is>
      </c>
      <c r="D12" s="22" t="n"/>
      <c r="E12" s="34" t="inlineStr">
        <is>
          <t>PRODUTOS PARA AVALIAÇÃO</t>
        </is>
      </c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22" t="n"/>
      <c r="S12" s="34" t="inlineStr">
        <is>
          <t>Modelo 5 C´s</t>
        </is>
      </c>
      <c r="T12" s="35" t="n"/>
      <c r="U12" s="35" t="n"/>
      <c r="V12" s="35" t="n"/>
      <c r="W12" s="35" t="n"/>
      <c r="X12" s="22" t="n"/>
      <c r="Y12" s="36" t="inlineStr">
        <is>
          <t>TOTAL</t>
        </is>
      </c>
      <c r="Z12" s="21" t="inlineStr">
        <is>
          <t>RESULTADO</t>
        </is>
      </c>
      <c r="AA12" s="13" t="n"/>
      <c r="AB12" s="13" t="n"/>
      <c r="AC12" s="13" t="n"/>
      <c r="AD12" s="37" t="n"/>
      <c r="AE12" s="38" t="inlineStr">
        <is>
          <t>PROPOSTA ALUNO</t>
        </is>
      </c>
      <c r="AF12" s="37" t="n"/>
      <c r="AG12" s="38" t="inlineStr">
        <is>
          <t>CLASSIF. ATRIBUÍDA</t>
        </is>
      </c>
      <c r="AH12" s="37" t="n"/>
    </row>
    <row r="13" ht="23.24" customHeight="1">
      <c r="A13" s="39" t="n"/>
      <c r="B13" s="39" t="n"/>
      <c r="C13" s="21" t="inlineStr">
        <is>
          <t>Total Pond</t>
        </is>
      </c>
      <c r="D13" s="21" t="inlineStr">
        <is>
          <t>N</t>
        </is>
      </c>
      <c r="E13" s="21" t="inlineStr">
        <is>
          <t>Execução técnica de fundos e molhos derivados</t>
        </is>
      </c>
      <c r="F13" s="37" t="n"/>
      <c r="G13" s="21" t="inlineStr">
        <is>
          <t>Controlo térmico e qualidade de confeção</t>
        </is>
      </c>
      <c r="H13" s="37" t="n"/>
      <c r="I13" s="21">
        <f>L8</f>
        <v/>
      </c>
      <c r="J13" s="37" t="n"/>
      <c r="K13" s="21">
        <f>M8</f>
        <v/>
      </c>
      <c r="L13" s="37" t="n"/>
      <c r="M13" s="21">
        <f>N8</f>
        <v/>
      </c>
      <c r="N13" s="37" t="n"/>
      <c r="O13" s="21">
        <f>O8</f>
        <v/>
      </c>
      <c r="P13" s="37" t="n"/>
      <c r="Q13" s="21">
        <f>P8</f>
        <v/>
      </c>
      <c r="R13" s="37" t="n"/>
      <c r="S13" s="24" t="inlineStr">
        <is>
          <t>CM</t>
        </is>
      </c>
      <c r="T13" s="24" t="inlineStr">
        <is>
          <t>CP</t>
        </is>
      </c>
      <c r="U13" s="22" t="n"/>
      <c r="V13" s="24" t="inlineStr">
        <is>
          <t>CL</t>
        </is>
      </c>
      <c r="W13" s="24" t="inlineStr">
        <is>
          <t>CO</t>
        </is>
      </c>
      <c r="X13" s="24" t="inlineStr">
        <is>
          <t>CR</t>
        </is>
      </c>
      <c r="Y13" s="39" t="n"/>
      <c r="Z13" s="40" t="n"/>
      <c r="AD13" s="41" t="n"/>
      <c r="AE13" s="40" t="n"/>
      <c r="AF13" s="41" t="n"/>
      <c r="AG13" s="40" t="n"/>
      <c r="AH13" s="41" t="n"/>
    </row>
    <row r="14" ht="16.5" customHeight="1">
      <c r="A14" s="42" t="n"/>
      <c r="B14" s="42" t="n"/>
      <c r="C14" s="43" t="n">
        <v>2</v>
      </c>
      <c r="D14" s="42" t="n"/>
      <c r="E14" s="44" t="n"/>
      <c r="F14" s="45" t="n"/>
      <c r="G14" s="44" t="n"/>
      <c r="H14" s="45" t="n"/>
      <c r="I14" s="44" t="n"/>
      <c r="J14" s="45" t="n"/>
      <c r="K14" s="44" t="n"/>
      <c r="L14" s="45" t="n"/>
      <c r="M14" s="44" t="n"/>
      <c r="N14" s="45" t="n"/>
      <c r="O14" s="44" t="n"/>
      <c r="P14" s="45" t="n"/>
      <c r="Q14" s="44" t="n"/>
      <c r="R14" s="45" t="n"/>
      <c r="S14" s="46" t="n">
        <v>0.1</v>
      </c>
      <c r="T14" s="47" t="inlineStr">
        <is>
          <t>N</t>
        </is>
      </c>
      <c r="U14" s="46" t="n">
        <v>0.6</v>
      </c>
      <c r="V14" s="47" t="n">
        <v>0.1</v>
      </c>
      <c r="W14" s="46" t="n">
        <v>0.1</v>
      </c>
      <c r="X14" s="46" t="n">
        <v>0.1</v>
      </c>
      <c r="Y14" s="42" t="n"/>
      <c r="Z14" s="44" t="n"/>
      <c r="AA14" s="11" t="n"/>
      <c r="AB14" s="11" t="n"/>
      <c r="AC14" s="11" t="n"/>
      <c r="AD14" s="45" t="n"/>
      <c r="AE14" s="44" t="n"/>
      <c r="AF14" s="45" t="n"/>
      <c r="AG14" s="44" t="n"/>
      <c r="AH14" s="45" t="n"/>
    </row>
    <row r="15" ht="12.76" customHeight="1">
      <c r="A15" s="48" t="n"/>
      <c r="B15" s="48" t="n"/>
      <c r="C15" s="49" t="n"/>
      <c r="D15" s="50">
        <f>IF(C15&lt;1,"0",IF(C15&lt;$C$14*0.5,"2",IF(C15&lt;$C$14*0.7,"4",IF(C15&lt;$C$14*0.85,"5","6"))))</f>
        <v/>
      </c>
      <c r="E15" s="51" t="n"/>
      <c r="F15" s="52">
        <f>IF(E15=0,"0",IF(E15&lt;9.5,"2",IF(E15&lt;14,"4",IF(E15&lt;17,"5","6"))))</f>
        <v/>
      </c>
      <c r="G15" s="51" t="n"/>
      <c r="H15" s="52">
        <f>IF(G15=0,"0",IF(G15&lt;9.5,"2",IF(G15&lt;14,"4",IF(G15&lt;17,"5","6"))))</f>
        <v/>
      </c>
      <c r="I15" s="51" t="n"/>
      <c r="J15" s="53">
        <f>IF(I15=0,"0",IF(I15&lt;9.5,"2",IF(I15&lt;14,"4",IF(I15&lt;17,"5","6"))))</f>
        <v/>
      </c>
      <c r="K15" s="54" t="n">
        <v>0</v>
      </c>
      <c r="L15" s="55">
        <f>IF(K15=0,"0",IF(K15&lt;9.5,"2",IF(K15&lt;14,"4",IF(K15&lt;17,"5","6"))))</f>
        <v/>
      </c>
      <c r="M15" s="54" t="n">
        <v>0</v>
      </c>
      <c r="N15" s="55">
        <f>IF(M15=0,"0",IF(M15&lt;9.5,"2",IF(M15&lt;14,"4",IF(M15&lt;17,"5","6"))))</f>
        <v/>
      </c>
      <c r="O15" s="54" t="n">
        <v>0</v>
      </c>
      <c r="P15" s="55">
        <f>IF(O15=0,"0",IF(O15&lt;9.5,"2",IF(O15&lt;14,"4",IF(O15&lt;17,"5","6"))))</f>
        <v/>
      </c>
      <c r="Q15" s="56" t="n">
        <v>0</v>
      </c>
      <c r="R15" s="57">
        <f>IF(Q15=0,"0",IF(Q15&lt;9.5,"2",IF(Q15&lt;14,"4",IF(Q15&lt;17,"5","6"))))</f>
        <v/>
      </c>
      <c r="S15" s="58" t="n"/>
      <c r="T15" s="59">
        <f>(F15*$J$9)+(H15*$K$9)+(J15*$L$9)+(L15*$M$9)+(N15*$N$9)+(P15*$O$9)+(R15*$P$9)</f>
        <v/>
      </c>
      <c r="U15" s="60" t="n"/>
      <c r="V15" s="58" t="n"/>
      <c r="W15" s="58" t="n"/>
      <c r="X15" s="58" t="n"/>
      <c r="Y15" s="61">
        <f>(S15*$S$14)+(T15*$U$14)+(V15*$V$14)+(W15*$W$14)+(X15*$X$14)</f>
        <v/>
      </c>
      <c r="Z15" s="62">
        <f>IF(Y15&lt;3.5,"Módulo em atraso",IF(Y15&lt;4.5,"Suficiente",IF(Y15&lt;5.5,"Bom","Muito bom")))</f>
        <v/>
      </c>
      <c r="AA15" s="63" t="n"/>
      <c r="AB15" s="63" t="n"/>
      <c r="AC15" s="63" t="n"/>
      <c r="AD15" s="64" t="n"/>
      <c r="AE15" s="65" t="n"/>
      <c r="AF15" s="66" t="n"/>
      <c r="AG15" s="67" t="n"/>
      <c r="AH15" s="66" t="n"/>
    </row>
    <row r="16" ht="12.76" customHeight="1">
      <c r="A16" s="48" t="n"/>
      <c r="B16" s="48" t="n"/>
      <c r="C16" s="49" t="n"/>
      <c r="D16" s="68">
        <f>IF(C16&lt;1,"0",IF(C16&lt;$C$14*0.5,"2",IF(C16&lt;$C$14*0.7,"4",IF(C16&lt;$C$14*0.85,"5","6"))))</f>
        <v/>
      </c>
      <c r="E16" s="51" t="n"/>
      <c r="F16" s="52">
        <f>IF(E16=0,"0",IF(E16&lt;9.5,"2",IF(E16&lt;14,"4",IF(E16&lt;17,"5","6"))))</f>
        <v/>
      </c>
      <c r="G16" s="69" t="n"/>
      <c r="H16" s="52">
        <f>IF(G16=0,"0",IF(G16&lt;9.5,"2",IF(G16&lt;14,"4",IF(G16&lt;17,"5","6"))))</f>
        <v/>
      </c>
      <c r="I16" s="69" t="n"/>
      <c r="J16" s="52">
        <f>IF(I16=0,"0",IF(I16&lt;9.5,"2",IF(I16&lt;14,"4",IF(I16&lt;17,"5","6"))))</f>
        <v/>
      </c>
      <c r="K16" s="70" t="n">
        <v>0</v>
      </c>
      <c r="L16" s="55">
        <f>IF(K16=0,"0",IF(K16&lt;9.5,"2",IF(K16&lt;14,"4",IF(K16&lt;17,"5","6"))))</f>
        <v/>
      </c>
      <c r="M16" s="69" t="n">
        <v>0</v>
      </c>
      <c r="N16" s="52">
        <f>IF(M16=0,"0",IF(M16&lt;9.5,"2",IF(M16&lt;14,"4",IF(M16&lt;17,"5","6"))))</f>
        <v/>
      </c>
      <c r="O16" s="69" t="n">
        <v>0</v>
      </c>
      <c r="P16" s="52">
        <f>IF(O16=0,"0",IF(O16&lt;9.5,"2",IF(O16&lt;14,"4",IF(O16&lt;17,"5","6"))))</f>
        <v/>
      </c>
      <c r="Q16" s="71" t="n">
        <v>0</v>
      </c>
      <c r="R16" s="72">
        <f>IF(Q16=0,"0",IF(Q16&lt;9.5,"2",IF(Q16&lt;14,"4",IF(Q16&lt;17,"5","6"))))</f>
        <v/>
      </c>
      <c r="S16" s="58" t="n"/>
      <c r="T16" s="59">
        <f>(F16*$J$9)+(H16*$K$9)+(J16*$L$9)+(L16*$M$9)+(N16*$N$9)+(P16*$O$9)+(R16*$P$9)</f>
        <v/>
      </c>
      <c r="U16" s="60" t="n"/>
      <c r="V16" s="58" t="n"/>
      <c r="W16" s="58" t="n"/>
      <c r="X16" s="58" t="n"/>
      <c r="Y16" s="61">
        <f>(S16*$S$14)+(T16*$U$14)+(V16*$V$14)+(W16*$W$14)+(X16*$X$14)</f>
        <v/>
      </c>
      <c r="Z16" s="62">
        <f>IF(Y16&lt;3.5,"Módulo em atraso",IF(Y16&lt;4.5,"Suficiente",IF(Y16&lt;5.5,"Bom","Muito bom")))</f>
        <v/>
      </c>
      <c r="AA16" s="63" t="n"/>
      <c r="AB16" s="63" t="n"/>
      <c r="AC16" s="63" t="n"/>
      <c r="AD16" s="64" t="n"/>
      <c r="AE16" s="73" t="n"/>
      <c r="AF16" s="64" t="n"/>
      <c r="AG16" s="74" t="n"/>
      <c r="AH16" s="64" t="n"/>
    </row>
    <row r="17" ht="12.76" customHeight="1">
      <c r="A17" s="48" t="n"/>
      <c r="B17" s="48" t="n"/>
      <c r="C17" s="49" t="n"/>
      <c r="D17" s="68">
        <f>IF(C17&lt;1,"0",IF(C17&lt;$C$14*0.5,"2",IF(C17&lt;$C$14*0.7,"4",IF(C17&lt;$C$14*0.85,"5","6"))))</f>
        <v/>
      </c>
      <c r="E17" s="51" t="n"/>
      <c r="F17" s="52">
        <f>IF(E17=0,"0",IF(E17&lt;9.5,"2",IF(E17&lt;14,"4",IF(E17&lt;17,"5","6"))))</f>
        <v/>
      </c>
      <c r="G17" s="69" t="n"/>
      <c r="H17" s="52">
        <f>IF(G17=0,"0",IF(G17&lt;9.5,"2",IF(G17&lt;14,"4",IF(G17&lt;17,"5","6"))))</f>
        <v/>
      </c>
      <c r="I17" s="69" t="n"/>
      <c r="J17" s="52">
        <f>IF(I17=0,"0",IF(I17&lt;9.5,"2",IF(I17&lt;14,"4",IF(I17&lt;17,"5","6"))))</f>
        <v/>
      </c>
      <c r="K17" s="70" t="n"/>
      <c r="L17" s="55">
        <f>IF(K17=0,"0",IF(K17&lt;9.5,"2",IF(K17&lt;14,"4",IF(K17&lt;17,"5","6"))))</f>
        <v/>
      </c>
      <c r="M17" s="69" t="n"/>
      <c r="N17" s="52">
        <f>IF(M17=0,"0",IF(M17&lt;9.5,"2",IF(M17&lt;14,"4",IF(M17&lt;17,"5","6"))))</f>
        <v/>
      </c>
      <c r="O17" s="69" t="n"/>
      <c r="P17" s="52">
        <f>IF(O17=0,"0",IF(O17&lt;9.5,"2",IF(O17&lt;14,"4",IF(O17&lt;17,"5","6"))))</f>
        <v/>
      </c>
      <c r="Q17" s="71" t="n"/>
      <c r="R17" s="72">
        <f>IF(Q17=0,"0",IF(Q17&lt;9.5,"2",IF(Q17&lt;14,"4",IF(Q17&lt;17,"5","6"))))</f>
        <v/>
      </c>
      <c r="S17" s="58" t="n"/>
      <c r="T17" s="59">
        <f>(F17*$J$9)+(H17*$K$9)+(J17*$L$9)+(L17*$M$9)+(N17*$N$9)+(P17*$O$9)+(R17*$P$9)</f>
        <v/>
      </c>
      <c r="U17" s="58" t="n"/>
      <c r="V17" s="58" t="n"/>
      <c r="W17" s="58" t="n"/>
      <c r="X17" s="58" t="n"/>
      <c r="Y17" s="61">
        <f>(S17*$S$14)+(T17*$U$14)+(V17*$V$14)+(W17*$W$14)+(X17*$X$14)</f>
        <v/>
      </c>
      <c r="Z17" s="62">
        <f>IF(Y17&lt;3.5,"Módulo em atraso",IF(Y17&lt;4.5,"Suficiente",IF(Y17&lt;5.5,"Bom","Muito bom")))</f>
        <v/>
      </c>
      <c r="AA17" s="63" t="n"/>
      <c r="AB17" s="63" t="n"/>
      <c r="AC17" s="63" t="n"/>
      <c r="AD17" s="64" t="n"/>
      <c r="AE17" s="73" t="n"/>
      <c r="AF17" s="64" t="n"/>
      <c r="AG17" s="67" t="n"/>
      <c r="AH17" s="66" t="n"/>
    </row>
    <row r="18" ht="13.49" customHeight="1">
      <c r="A18" s="48" t="n"/>
      <c r="B18" s="48" t="n"/>
      <c r="C18" s="49" t="n"/>
      <c r="D18" s="68">
        <f>IF(C18&lt;1,"0",IF(C18&lt;$C$14*0.5,"2",IF(C18&lt;$C$14*0.7,"4",IF(C18&lt;$C$14*0.85,"5","6"))))</f>
        <v/>
      </c>
      <c r="E18" s="51" t="n"/>
      <c r="F18" s="52">
        <f>IF(E18=0,"0",IF(E18&lt;9.5,"2",IF(E18&lt;14,"4",IF(E18&lt;17,"5","6"))))</f>
        <v/>
      </c>
      <c r="G18" s="69" t="n"/>
      <c r="H18" s="52">
        <f>IF(G18=0,"0",IF(G18&lt;9.5,"2",IF(G18&lt;14,"4",IF(G18&lt;17,"5","6"))))</f>
        <v/>
      </c>
      <c r="I18" s="69" t="n"/>
      <c r="J18" s="52">
        <f>IF(I18=0,"0",IF(I18&lt;9.5,"2",IF(I18&lt;14,"4",IF(I18&lt;17,"5","6"))))</f>
        <v/>
      </c>
      <c r="K18" s="70" t="n"/>
      <c r="L18" s="55">
        <f>IF(K18=0,"0",IF(K18&lt;9.5,"2",IF(K18&lt;14,"4",IF(K18&lt;17,"5","6"))))</f>
        <v/>
      </c>
      <c r="M18" s="69" t="n"/>
      <c r="N18" s="52">
        <f>IF(M18=0,"0",IF(M18&lt;9.5,"2",IF(M18&lt;14,"4",IF(M18&lt;17,"5","6"))))</f>
        <v/>
      </c>
      <c r="O18" s="69" t="n"/>
      <c r="P18" s="52">
        <f>IF(O18=0,"0",IF(O18&lt;9.5,"2",IF(O18&lt;14,"4",IF(O18&lt;17,"5","6"))))</f>
        <v/>
      </c>
      <c r="Q18" s="71" t="n"/>
      <c r="R18" s="72">
        <f>IF(Q18=0,"0",IF(Q18&lt;9.5,"2",IF(Q18&lt;14,"4",IF(Q18&lt;17,"5","6"))))</f>
        <v/>
      </c>
      <c r="S18" s="58" t="n"/>
      <c r="T18" s="59">
        <f>(F18*$J$9)+(H18*$K$9)+(J18*$L$9)+(L18*$M$9)+(N18*$N$9)+(P18*$O$9)+(R18*$P$9)</f>
        <v/>
      </c>
      <c r="U18" s="58" t="n"/>
      <c r="V18" s="58" t="n"/>
      <c r="W18" s="58" t="n"/>
      <c r="X18" s="58" t="n"/>
      <c r="Y18" s="61">
        <f>(S18*$S$14)+(T18*$U$14)+(V18*$V$14)+(W18*$W$14)+(X18*$X$14)</f>
        <v/>
      </c>
      <c r="Z18" s="62">
        <f>IF(Y18&lt;3.5,"Módulo em atraso",IF(Y18&lt;4.5,"Suficiente",IF(Y18&lt;5.5,"Bom","Muito bom")))</f>
        <v/>
      </c>
      <c r="AA18" s="63" t="n"/>
      <c r="AB18" s="63" t="n"/>
      <c r="AC18" s="63" t="n"/>
      <c r="AD18" s="64" t="n"/>
      <c r="AE18" s="73" t="n"/>
      <c r="AF18" s="64" t="n"/>
      <c r="AG18" s="74" t="n"/>
      <c r="AH18" s="64" t="n"/>
    </row>
    <row r="19" ht="13.49" customHeight="1">
      <c r="A19" s="48" t="n"/>
      <c r="B19" s="48" t="n"/>
      <c r="C19" s="49" t="n"/>
      <c r="D19" s="68">
        <f>IF(C19&lt;1,"0",IF(C19&lt;$C$14*0.5,"2",IF(C19&lt;$C$14*0.7,"4",IF(C19&lt;$C$14*0.85,"5","6"))))</f>
        <v/>
      </c>
      <c r="E19" s="51" t="n"/>
      <c r="F19" s="52">
        <f>IF(E19=0,"0",IF(E19&lt;9.5,"2",IF(E19&lt;14,"4",IF(E19&lt;17,"5","6"))))</f>
        <v/>
      </c>
      <c r="G19" s="69" t="n"/>
      <c r="H19" s="52">
        <f>IF(G19=0,"0",IF(G19&lt;9.5,"2",IF(G19&lt;14,"4",IF(G19&lt;17,"5","6"))))</f>
        <v/>
      </c>
      <c r="I19" s="69" t="n"/>
      <c r="J19" s="52" t="n"/>
      <c r="K19" s="70" t="n"/>
      <c r="L19" s="55" t="n"/>
      <c r="M19" s="69" t="n"/>
      <c r="N19" s="52" t="n"/>
      <c r="O19" s="69" t="n"/>
      <c r="P19" s="52" t="n"/>
      <c r="Q19" s="71" t="n"/>
      <c r="R19" s="72" t="n"/>
      <c r="S19" s="58" t="n"/>
      <c r="T19" s="59">
        <f>(F19*$J$9)+(H19*$K$9)+(J19*$L$9)+(L19*$M$9)+(N19*$N$9)+(P19*$O$9)+(R19*$P$9)</f>
        <v/>
      </c>
      <c r="U19" s="58" t="n"/>
      <c r="V19" s="58" t="n"/>
      <c r="W19" s="58" t="n"/>
      <c r="X19" s="58" t="n"/>
      <c r="Y19" s="61">
        <f>(S19*$S$14)+(T19*$U$14)+(V19*$V$14)+(W19*$W$14)+(X19*$X$14)</f>
        <v/>
      </c>
      <c r="Z19" s="62">
        <f>IF(Y19&lt;3.5,"Módulo em atraso",IF(Y19&lt;4.5,"Suficiente",IF(Y19&lt;5.5,"Bom","Muito bom")))</f>
        <v/>
      </c>
      <c r="AA19" s="63" t="n"/>
      <c r="AB19" s="63" t="n"/>
      <c r="AC19" s="63" t="n"/>
      <c r="AD19" s="64" t="n"/>
      <c r="AE19" s="75" t="n"/>
      <c r="AF19" s="76" t="n"/>
      <c r="AG19" s="77" t="n"/>
      <c r="AH19" s="78" t="n"/>
    </row>
    <row r="20" ht="13.49" customHeight="1">
      <c r="A20" s="48" t="n"/>
      <c r="B20" s="48" t="n"/>
      <c r="C20" s="49" t="n"/>
      <c r="D20" s="68">
        <f>IF(C20&lt;1,"0",IF(C20&lt;$C$14*0.5,"2",IF(C20&lt;$C$14*0.7,"4",IF(C20&lt;$C$14*0.85,"5","6"))))</f>
        <v/>
      </c>
      <c r="E20" s="51" t="n"/>
      <c r="F20" s="52">
        <f>IF(E20=0,"0",IF(E20&lt;9.5,"2",IF(E20&lt;14,"4",IF(E20&lt;17,"5","6"))))</f>
        <v/>
      </c>
      <c r="G20" s="69" t="n"/>
      <c r="H20" s="52">
        <f>IF(G20=0,"0",IF(G20&lt;9.5,"2",IF(G20&lt;14,"4",IF(G20&lt;17,"5","6"))))</f>
        <v/>
      </c>
      <c r="I20" s="69" t="n"/>
      <c r="J20" s="52">
        <f>IF(I20=0,"0",IF(I20&lt;9.5,"2",IF(I20&lt;14,"4",IF(I20&lt;17,"5","6"))))</f>
        <v/>
      </c>
      <c r="K20" s="70" t="n"/>
      <c r="L20" s="55">
        <f>IF(K20=0,"0",IF(K20&lt;9.5,"2",IF(K20&lt;14,"4",IF(K20&lt;17,"5","6"))))</f>
        <v/>
      </c>
      <c r="M20" s="69" t="n"/>
      <c r="N20" s="52">
        <f>IF(M20=0,"0",IF(M20&lt;9.5,"2",IF(M20&lt;14,"4",IF(M20&lt;17,"5","6"))))</f>
        <v/>
      </c>
      <c r="O20" s="69" t="n"/>
      <c r="P20" s="52">
        <f>IF(O20=0,"0",IF(O20&lt;9.5,"2",IF(O20&lt;14,"4",IF(O20&lt;17,"5","6"))))</f>
        <v/>
      </c>
      <c r="Q20" s="71" t="n"/>
      <c r="R20" s="72">
        <f>IF(Q20=0,"0",IF(Q20&lt;9.5,"2",IF(Q20&lt;14,"4",IF(Q20&lt;17,"5","6"))))</f>
        <v/>
      </c>
      <c r="S20" s="58" t="n"/>
      <c r="T20" s="59">
        <f>(F20*$J$9)+(H20*$K$9)+(J20*$L$9)+(L20*$M$9)+(N20*$N$9)+(P20*$O$9)+(R20*$P$9)</f>
        <v/>
      </c>
      <c r="U20" s="58" t="n"/>
      <c r="V20" s="58" t="n"/>
      <c r="W20" s="58" t="n"/>
      <c r="X20" s="58" t="n"/>
      <c r="Y20" s="61">
        <f>(S20*$S$14)+(T20*$U$14)+(V20*$V$14)+(W20*$W$14)+(X20*$X$14)</f>
        <v/>
      </c>
      <c r="Z20" s="62">
        <f>IF(Y20&lt;3.5,"Módulo em atraso",IF(Y20&lt;4.5,"Suficiente",IF(Y20&lt;5.5,"Bom","Muito bom")))</f>
        <v/>
      </c>
      <c r="AA20" s="63" t="n"/>
      <c r="AB20" s="63" t="n"/>
      <c r="AC20" s="63" t="n"/>
      <c r="AD20" s="64" t="n"/>
      <c r="AE20" s="73" t="n"/>
      <c r="AF20" s="64" t="n"/>
      <c r="AG20" s="67" t="n"/>
      <c r="AH20" s="66" t="n"/>
    </row>
    <row r="21" ht="13.49" customHeight="1">
      <c r="A21" s="48" t="n"/>
      <c r="B21" s="48" t="n"/>
      <c r="C21" s="49" t="n"/>
      <c r="D21" s="68">
        <f>IF(C21&lt;1,"0",IF(C21&lt;$C$14*0.5,"2",IF(C21&lt;$C$14*0.7,"4",IF(C21&lt;$C$14*0.85,"5","6"))))</f>
        <v/>
      </c>
      <c r="E21" s="51" t="n"/>
      <c r="F21" s="52">
        <f>IF(E21=0,"0",IF(E21&lt;9.5,"2",IF(E21&lt;14,"4",IF(E21&lt;17,"5","6"))))</f>
        <v/>
      </c>
      <c r="G21" s="69" t="n"/>
      <c r="H21" s="52">
        <f>IF(G21=0,"0",IF(G21&lt;9.5,"2",IF(G21&lt;14,"4",IF(G21&lt;17,"5","6"))))</f>
        <v/>
      </c>
      <c r="I21" s="69" t="n"/>
      <c r="J21" s="52">
        <f>IF(I21=0,"0",IF(I21&lt;9.5,"2",IF(I21&lt;14,"4",IF(I21&lt;17,"5","6"))))</f>
        <v/>
      </c>
      <c r="K21" s="70" t="n"/>
      <c r="L21" s="55">
        <f>IF(K21=0,"0",IF(K21&lt;9.5,"2",IF(K21&lt;14,"4",IF(K21&lt;17,"5","6"))))</f>
        <v/>
      </c>
      <c r="M21" s="69" t="n"/>
      <c r="N21" s="52">
        <f>IF(M21=0,"0",IF(M21&lt;9.5,"2",IF(M21&lt;14,"4",IF(M21&lt;17,"5","6"))))</f>
        <v/>
      </c>
      <c r="O21" s="69" t="n"/>
      <c r="P21" s="52">
        <f>IF(O21=0,"0",IF(O21&lt;9.5,"2",IF(O21&lt;14,"4",IF(O21&lt;17,"5","6"))))</f>
        <v/>
      </c>
      <c r="Q21" s="71" t="n"/>
      <c r="R21" s="72">
        <f>IF(Q21=0,"0",IF(Q21&lt;9.5,"2",IF(Q21&lt;14,"4",IF(Q21&lt;17,"5","6"))))</f>
        <v/>
      </c>
      <c r="S21" s="58" t="n"/>
      <c r="T21" s="59">
        <f>(F21*$J$9)+(H21*$K$9)+(J21*$L$9)+(L21*$M$9)+(N21*$N$9)+(P21*$O$9)+(R21*$P$9)</f>
        <v/>
      </c>
      <c r="U21" s="58" t="n"/>
      <c r="V21" s="58" t="n"/>
      <c r="W21" s="58" t="n"/>
      <c r="X21" s="58" t="n"/>
      <c r="Y21" s="61">
        <f>(S21*$S$14)+(T21*$U$14)+(V21*$V$14)+(W21*$W$14)+(X21*$X$14)</f>
        <v/>
      </c>
      <c r="Z21" s="62">
        <f>IF(Y21&lt;3.5,"Módulo em atraso",IF(Y21&lt;4.5,"Suficiente",IF(Y21&lt;5.5,"Bom","Muito bom")))</f>
        <v/>
      </c>
      <c r="AA21" s="63" t="n"/>
      <c r="AB21" s="63" t="n"/>
      <c r="AC21" s="63" t="n"/>
      <c r="AD21" s="64" t="n"/>
      <c r="AE21" s="73" t="n"/>
      <c r="AF21" s="64" t="n"/>
      <c r="AG21" s="74" t="n"/>
      <c r="AH21" s="64" t="n"/>
    </row>
    <row r="22" ht="13.49" customHeight="1">
      <c r="A22" s="48" t="n"/>
      <c r="B22" s="48" t="n"/>
      <c r="C22" s="49" t="n"/>
      <c r="D22" s="68">
        <f>IF(C22&lt;1,"0",IF(C22&lt;$C$14*0.5,"2",IF(C22&lt;$C$14*0.7,"4",IF(C22&lt;$C$14*0.85,"5","6"))))</f>
        <v/>
      </c>
      <c r="E22" s="51" t="n"/>
      <c r="F22" s="52">
        <f>IF(E22=0,"0",IF(E22&lt;9.5,"2",IF(E22&lt;14,"4",IF(E22&lt;17,"5","6"))))</f>
        <v/>
      </c>
      <c r="G22" s="79" t="n"/>
      <c r="H22" s="52">
        <f>IF(G22=0,"0",IF(G22&lt;9.5,"2",IF(G22&lt;14,"4",IF(G22&lt;17,"5","6"))))</f>
        <v/>
      </c>
      <c r="I22" s="69" t="n"/>
      <c r="J22" s="52">
        <f>IF(I22=0,"0",IF(I22&lt;9.5,"2",IF(I22&lt;14,"4",IF(I22&lt;17,"5","6"))))</f>
        <v/>
      </c>
      <c r="K22" s="70" t="n"/>
      <c r="L22" s="55">
        <f>IF(K22=0,"0",IF(K22&lt;9.5,"2",IF(K22&lt;14,"4",IF(K22&lt;17,"5","6"))))</f>
        <v/>
      </c>
      <c r="M22" s="69" t="n"/>
      <c r="N22" s="52">
        <f>IF(M22=0,"0",IF(M22&lt;9.5,"2",IF(M22&lt;14,"4",IF(M22&lt;17,"5","6"))))</f>
        <v/>
      </c>
      <c r="O22" s="69" t="n"/>
      <c r="P22" s="52">
        <f>IF(O22=0,"0",IF(O22&lt;9.5,"2",IF(O22&lt;14,"4",IF(O22&lt;17,"5","6"))))</f>
        <v/>
      </c>
      <c r="Q22" s="71" t="n"/>
      <c r="R22" s="72">
        <f>IF(Q22=0,"0",IF(Q22&lt;9.5,"2",IF(Q22&lt;14,"4",IF(Q22&lt;17,"5","6"))))</f>
        <v/>
      </c>
      <c r="S22" s="58" t="n"/>
      <c r="T22" s="59">
        <f>(F22*$J$9)+(H22*$K$9)+(J22*$L$9)+(L22*$M$9)+(N22*$N$9)+(P22*$O$9)+(R22*$P$9)</f>
        <v/>
      </c>
      <c r="U22" s="58" t="n"/>
      <c r="V22" s="58" t="n"/>
      <c r="W22" s="58" t="n"/>
      <c r="X22" s="58" t="n"/>
      <c r="Y22" s="61">
        <f>(S22*$S$14)+(T22*$U$14)+(V22*$V$14)+(W22*$W$14)+(X22*$X$14)</f>
        <v/>
      </c>
      <c r="Z22" s="62">
        <f>IF(Y22&lt;3.5,"Módulo em atraso",IF(Y22&lt;4.5,"Suficiente",IF(Y22&lt;5.5,"Bom","Muito bom")))</f>
        <v/>
      </c>
      <c r="AA22" s="63" t="n"/>
      <c r="AB22" s="63" t="n"/>
      <c r="AC22" s="63" t="n"/>
      <c r="AD22" s="64" t="n"/>
      <c r="AE22" s="73" t="n"/>
      <c r="AF22" s="64" t="n"/>
      <c r="AG22" s="67" t="n"/>
      <c r="AH22" s="66" t="n"/>
    </row>
    <row r="23" ht="13.49" customHeight="1">
      <c r="A23" s="48" t="n"/>
      <c r="B23" s="48" t="n"/>
      <c r="C23" s="49" t="n"/>
      <c r="D23" s="68">
        <f>IF(C23&lt;1,"0",IF(C23&lt;$C$14*0.5,"2",IF(C23&lt;$C$14*0.7,"4",IF(C23&lt;$C$14*0.85,"5","6"))))</f>
        <v/>
      </c>
      <c r="E23" s="51" t="n"/>
      <c r="F23" s="52">
        <f>IF(E23=0,"0",IF(E23&lt;9.5,"2",IF(E23&lt;14,"4",IF(E23&lt;17,"5","6"))))</f>
        <v/>
      </c>
      <c r="G23" s="69" t="n"/>
      <c r="H23" s="52">
        <f>IF(G23=0,"0",IF(G23&lt;9.5,"2",IF(G23&lt;14,"4",IF(G23&lt;17,"5","6"))))</f>
        <v/>
      </c>
      <c r="I23" s="69" t="n"/>
      <c r="J23" s="52">
        <f>IF(I23=0,"0",IF(I23&lt;9.5,"2",IF(I23&lt;14,"4",IF(I23&lt;17,"5","6"))))</f>
        <v/>
      </c>
      <c r="K23" s="70" t="n"/>
      <c r="L23" s="55">
        <f>IF(K23=0,"0",IF(K23&lt;9.5,"2",IF(K23&lt;14,"4",IF(K23&lt;17,"5","6"))))</f>
        <v/>
      </c>
      <c r="M23" s="69" t="n"/>
      <c r="N23" s="52">
        <f>IF(M23=0,"0",IF(M23&lt;9.5,"2",IF(M23&lt;14,"4",IF(M23&lt;17,"5","6"))))</f>
        <v/>
      </c>
      <c r="O23" s="69" t="n"/>
      <c r="P23" s="52">
        <f>IF(O23=0,"0",IF(O23&lt;9.5,"2",IF(O23&lt;14,"4",IF(O23&lt;17,"5","6"))))</f>
        <v/>
      </c>
      <c r="Q23" s="71" t="n"/>
      <c r="R23" s="72">
        <f>IF(Q23=0,"0",IF(Q23&lt;9.5,"2",IF(Q23&lt;14,"4",IF(Q23&lt;17,"5","6"))))</f>
        <v/>
      </c>
      <c r="S23" s="58" t="n"/>
      <c r="T23" s="59">
        <f>(F23*$J$9)+(H23*$K$9)+(J23*$L$9)+(L23*$M$9)+(N23*$N$9)+(P23*$O$9)+(R23*$P$9)</f>
        <v/>
      </c>
      <c r="U23" s="58" t="n"/>
      <c r="V23" s="58" t="n"/>
      <c r="W23" s="58" t="n"/>
      <c r="X23" s="58" t="n"/>
      <c r="Y23" s="61">
        <f>(S23*$S$14)+(T23*$U$14)+(V23*$V$14)+(W23*$W$14)+(X23*$X$14)</f>
        <v/>
      </c>
      <c r="Z23" s="62">
        <f>IF(Y23&lt;3.5,"Módulo em atraso",IF(Y23&lt;4.5,"Suficiente",IF(Y23&lt;5.5,"Bom","Muito bom")))</f>
        <v/>
      </c>
      <c r="AA23" s="63" t="n"/>
      <c r="AB23" s="63" t="n"/>
      <c r="AC23" s="63" t="n"/>
      <c r="AD23" s="64" t="n"/>
      <c r="AE23" s="73" t="n"/>
      <c r="AF23" s="64" t="n"/>
      <c r="AG23" s="74" t="n"/>
      <c r="AH23" s="64" t="n"/>
    </row>
    <row r="24" ht="13.49" customHeight="1">
      <c r="A24" s="48" t="n"/>
      <c r="B24" s="48" t="n"/>
      <c r="C24" s="49" t="n"/>
      <c r="D24" s="68">
        <f>IF(C24&lt;1,"0",IF(C24&lt;$C$14*0.5,"2",IF(C24&lt;$C$14*0.7,"4",IF(C24&lt;$C$14*0.85,"5","6"))))</f>
        <v/>
      </c>
      <c r="E24" s="51" t="n"/>
      <c r="F24" s="52">
        <f>IF(E24=0,"0",IF(E24&lt;9.5,"2",IF(E24&lt;14,"4",IF(E24&lt;17,"5","6"))))</f>
        <v/>
      </c>
      <c r="G24" s="69" t="n"/>
      <c r="H24" s="52">
        <f>IF(G24=0,"0",IF(G24&lt;9.5,"2",IF(G24&lt;14,"4",IF(G24&lt;17,"5","6"))))</f>
        <v/>
      </c>
      <c r="I24" s="69" t="n"/>
      <c r="J24" s="52">
        <f>IF(I24=0,"0",IF(I24&lt;9.5,"2",IF(I24&lt;14,"4",IF(I24&lt;17,"5","6"))))</f>
        <v/>
      </c>
      <c r="K24" s="70" t="n"/>
      <c r="L24" s="55">
        <f>IF(K24=0,"0",IF(K24&lt;9.5,"2",IF(K24&lt;14,"4",IF(K24&lt;17,"5","6"))))</f>
        <v/>
      </c>
      <c r="M24" s="69" t="n"/>
      <c r="N24" s="52">
        <f>IF(M24=0,"0",IF(M24&lt;9.5,"2",IF(M24&lt;14,"4",IF(M24&lt;17,"5","6"))))</f>
        <v/>
      </c>
      <c r="O24" s="69" t="n"/>
      <c r="P24" s="52">
        <f>IF(O24=0,"0",IF(O24&lt;9.5,"2",IF(O24&lt;14,"4",IF(O24&lt;17,"5","6"))))</f>
        <v/>
      </c>
      <c r="Q24" s="71" t="n"/>
      <c r="R24" s="72">
        <f>IF(Q24=0,"0",IF(Q24&lt;9.5,"2",IF(Q24&lt;14,"4",IF(Q24&lt;17,"5","6"))))</f>
        <v/>
      </c>
      <c r="S24" s="58" t="n"/>
      <c r="T24" s="59">
        <f>(F24*$J$9)+(H24*$K$9)+(J24*$L$9)+(L24*$M$9)+(N24*$N$9)+(P24*$O$9)+(R24*$P$9)</f>
        <v/>
      </c>
      <c r="U24" s="58" t="n"/>
      <c r="V24" s="58" t="n"/>
      <c r="W24" s="58" t="n"/>
      <c r="X24" s="58" t="n"/>
      <c r="Y24" s="61">
        <f>(S24*$S$14)+(T24*$U$14)+(V24*$V$14)+(W24*$W$14)+(X24*$X$14)</f>
        <v/>
      </c>
      <c r="Z24" s="62">
        <f>IF(Y24&lt;3.5,"Módulo em atraso",IF(Y24&lt;4.5,"Suficiente",IF(Y24&lt;5.5,"Bom","Muito bom")))</f>
        <v/>
      </c>
      <c r="AA24" s="63" t="n"/>
      <c r="AB24" s="63" t="n"/>
      <c r="AC24" s="63" t="n"/>
      <c r="AD24" s="64" t="n"/>
      <c r="AE24" s="73" t="n"/>
      <c r="AF24" s="64" t="n"/>
      <c r="AG24" s="67" t="n"/>
      <c r="AH24" s="66" t="n"/>
    </row>
    <row r="25" ht="13.49" customHeight="1">
      <c r="A25" s="48" t="n"/>
      <c r="B25" s="48" t="n"/>
      <c r="C25" s="49" t="n"/>
      <c r="D25" s="68">
        <f>IF(C25&lt;1,"0",IF(C25&lt;$C$14*0.5,"2",IF(C25&lt;$C$14*0.7,"4",IF(C25&lt;$C$14*0.85,"5","6"))))</f>
        <v/>
      </c>
      <c r="E25" s="51" t="n"/>
      <c r="F25" s="52">
        <f>IF(E25=0,"0",IF(E25&lt;9.5,"2",IF(E25&lt;14,"4",IF(E25&lt;17,"5","6"))))</f>
        <v/>
      </c>
      <c r="G25" s="69" t="n"/>
      <c r="H25" s="52">
        <f>IF(G25=0,"0",IF(G25&lt;9.5,"2",IF(G25&lt;14,"4",IF(G25&lt;17,"5","6"))))</f>
        <v/>
      </c>
      <c r="I25" s="69" t="n"/>
      <c r="J25" s="52">
        <f>IF(I25=0,"0",IF(I25&lt;9.5,"2",IF(I25&lt;14,"4",IF(I25&lt;17,"5","6"))))</f>
        <v/>
      </c>
      <c r="K25" s="70" t="n"/>
      <c r="L25" s="55">
        <f>IF(K25=0,"0",IF(K25&lt;9.5,"2",IF(K25&lt;14,"4",IF(K25&lt;17,"5","6"))))</f>
        <v/>
      </c>
      <c r="M25" s="69" t="n"/>
      <c r="N25" s="52">
        <f>IF(M25=0,"0",IF(M25&lt;9.5,"2",IF(M25&lt;14,"4",IF(M25&lt;17,"5","6"))))</f>
        <v/>
      </c>
      <c r="O25" s="69" t="n"/>
      <c r="P25" s="52">
        <f>IF(O25=0,"0",IF(O25&lt;9.5,"2",IF(O25&lt;14,"4",IF(O25&lt;17,"5","6"))))</f>
        <v/>
      </c>
      <c r="Q25" s="71" t="n"/>
      <c r="R25" s="72">
        <f>IF(Q25=0,"0",IF(Q25&lt;9.5,"2",IF(Q25&lt;14,"4",IF(Q25&lt;17,"5","6"))))</f>
        <v/>
      </c>
      <c r="S25" s="58" t="n"/>
      <c r="T25" s="59">
        <f>(F25*$J$9)+(H25*$K$9)+(J25*$L$9)+(L25*$M$9)+(N25*$N$9)+(P25*$O$9)+(R25*$P$9)</f>
        <v/>
      </c>
      <c r="U25" s="58" t="n"/>
      <c r="V25" s="58" t="n"/>
      <c r="W25" s="58" t="n"/>
      <c r="X25" s="58" t="n"/>
      <c r="Y25" s="61">
        <f>(S25*$S$14)+(T25*$U$14)+(V25*$V$14)+(W25*$W$14)+(X25*$X$14)</f>
        <v/>
      </c>
      <c r="Z25" s="62">
        <f>IF(Y25&lt;3.5,"Módulo em atraso",IF(Y25&lt;4.5,"Suficiente",IF(Y25&lt;5.5,"Bom","Muito bom")))</f>
        <v/>
      </c>
      <c r="AA25" s="63" t="n"/>
      <c r="AB25" s="63" t="n"/>
      <c r="AC25" s="63" t="n"/>
      <c r="AD25" s="64" t="n"/>
      <c r="AE25" s="73" t="n"/>
      <c r="AF25" s="64" t="n"/>
      <c r="AG25" s="74" t="n"/>
      <c r="AH25" s="64" t="n"/>
    </row>
    <row r="26" ht="13.49" customHeight="1">
      <c r="A26" s="48" t="n"/>
      <c r="B26" s="48" t="n"/>
      <c r="C26" s="49" t="n"/>
      <c r="D26" s="68">
        <f>IF(C26&lt;1,"0",IF(C26&lt;$C$14*0.5,"2",IF(C26&lt;$C$14*0.7,"4",IF(C26&lt;$C$14*0.85,"5","6"))))</f>
        <v/>
      </c>
      <c r="E26" s="51" t="n"/>
      <c r="F26" s="52">
        <f>IF(E26=0,"0",IF(E26&lt;9.5,"2",IF(E26&lt;14,"4",IF(E26&lt;17,"5","6"))))</f>
        <v/>
      </c>
      <c r="G26" s="69" t="n"/>
      <c r="H26" s="52">
        <f>IF(G26=0,"0",IF(G26&lt;9.5,"2",IF(G26&lt;14,"4",IF(G26&lt;17,"5","6"))))</f>
        <v/>
      </c>
      <c r="I26" s="69" t="n"/>
      <c r="J26" s="52">
        <f>IF(I26=0,"0",IF(I26&lt;9.5,"2",IF(I26&lt;14,"4",IF(I26&lt;17,"5","6"))))</f>
        <v/>
      </c>
      <c r="K26" s="70" t="n"/>
      <c r="L26" s="55">
        <f>IF(K26=0,"0",IF(K26&lt;9.5,"2",IF(K26&lt;14,"4",IF(K26&lt;17,"5","6"))))</f>
        <v/>
      </c>
      <c r="M26" s="69" t="n"/>
      <c r="N26" s="52">
        <f>IF(M26=0,"0",IF(M26&lt;9.5,"2",IF(M26&lt;14,"4",IF(M26&lt;17,"5","6"))))</f>
        <v/>
      </c>
      <c r="O26" s="69" t="n"/>
      <c r="P26" s="52">
        <f>IF(O26=0,"0",IF(O26&lt;9.5,"2",IF(O26&lt;14,"4",IF(O26&lt;17,"5","6"))))</f>
        <v/>
      </c>
      <c r="Q26" s="71" t="n"/>
      <c r="R26" s="72">
        <f>IF(Q26=0,"0",IF(Q26&lt;9.5,"2",IF(Q26&lt;14,"4",IF(Q26&lt;17,"5","6"))))</f>
        <v/>
      </c>
      <c r="S26" s="58" t="n"/>
      <c r="T26" s="59">
        <f>(F26*$J$9)+(H26*$K$9)+(J26*$L$9)+(L26*$M$9)+(N26*$N$9)+(P26*$O$9)+(R26*$P$9)</f>
        <v/>
      </c>
      <c r="U26" s="58" t="n"/>
      <c r="V26" s="58" t="n"/>
      <c r="W26" s="58" t="n"/>
      <c r="X26" s="58" t="n"/>
      <c r="Y26" s="61">
        <f>(S26*$S$14)+(T26*$U$14)+(V26*$V$14)+(W26*$W$14)+(X26*$X$14)</f>
        <v/>
      </c>
      <c r="Z26" s="62">
        <f>IF(Y26&lt;3.5,"Módulo em atraso",IF(Y26&lt;4.5,"Suficiente",IF(Y26&lt;5.5,"Bom","Muito bom")))</f>
        <v/>
      </c>
      <c r="AA26" s="63" t="n"/>
      <c r="AB26" s="63" t="n"/>
      <c r="AC26" s="63" t="n"/>
      <c r="AD26" s="64" t="n"/>
      <c r="AE26" s="73" t="n"/>
      <c r="AF26" s="64" t="n"/>
      <c r="AG26" s="67" t="n"/>
      <c r="AH26" s="66" t="n"/>
    </row>
    <row r="27" ht="12.76" customHeight="1">
      <c r="A27" s="48" t="n"/>
      <c r="B27" s="48" t="n"/>
      <c r="C27" s="49" t="n"/>
      <c r="D27" s="68">
        <f>IF(C27&lt;1,"0",IF(C27&lt;$C$14*0.5,"2",IF(C27&lt;$C$14*0.7,"4",IF(C27&lt;$C$14*0.85,"5","6"))))</f>
        <v/>
      </c>
      <c r="E27" s="51" t="n"/>
      <c r="F27" s="52">
        <f>IF(E27=0,"0",IF(E27&lt;9.5,"2",IF(E27&lt;14,"4",IF(E27&lt;17,"5","6"))))</f>
        <v/>
      </c>
      <c r="G27" s="69" t="n"/>
      <c r="H27" s="52">
        <f>IF(G27=0,"0",IF(G27&lt;9.5,"2",IF(G27&lt;14,"4",IF(G27&lt;17,"5","6"))))</f>
        <v/>
      </c>
      <c r="I27" s="69" t="n"/>
      <c r="J27" s="52">
        <f>IF(I27=0,"0",IF(I27&lt;9.5,"2",IF(I27&lt;14,"4",IF(I27&lt;17,"5","6"))))</f>
        <v/>
      </c>
      <c r="K27" s="70" t="n"/>
      <c r="L27" s="55">
        <f>IF(K27=0,"0",IF(K27&lt;9.5,"2",IF(K27&lt;14,"4",IF(K27&lt;17,"5","6"))))</f>
        <v/>
      </c>
      <c r="M27" s="69" t="n"/>
      <c r="N27" s="52">
        <f>IF(M27=0,"0",IF(M27&lt;9.5,"2",IF(M27&lt;14,"4",IF(M27&lt;17,"5","6"))))</f>
        <v/>
      </c>
      <c r="O27" s="69" t="n"/>
      <c r="P27" s="52">
        <f>IF(O27=0,"0",IF(O27&lt;9.5,"2",IF(O27&lt;14,"4",IF(O27&lt;17,"5","6"))))</f>
        <v/>
      </c>
      <c r="Q27" s="71" t="n"/>
      <c r="R27" s="72">
        <f>IF(Q27=0,"0",IF(Q27&lt;9.5,"2",IF(Q27&lt;14,"4",IF(Q27&lt;17,"5","6"))))</f>
        <v/>
      </c>
      <c r="S27" s="58" t="n"/>
      <c r="T27" s="59">
        <f>(F27*$J$9)+(H27*$K$9)+(J27*$L$9)+(L27*$M$9)+(N27*$N$9)+(P27*$O$9)+(R27*$P$9)</f>
        <v/>
      </c>
      <c r="U27" s="58" t="n"/>
      <c r="V27" s="58" t="n"/>
      <c r="W27" s="58" t="n"/>
      <c r="X27" s="58" t="n"/>
      <c r="Y27" s="61">
        <f>(S27*$S$14)+(T27*$U$14)+(V27*$V$14)+(W27*$W$14)+(X27*$X$14)</f>
        <v/>
      </c>
      <c r="Z27" s="62">
        <f>IF(Y27&lt;3.5,"Módulo em atraso",IF(Y27&lt;4.5,"Suficiente",IF(Y27&lt;5.5,"Bom","Muito bom")))</f>
        <v/>
      </c>
      <c r="AA27" s="63" t="n"/>
      <c r="AB27" s="63" t="n"/>
      <c r="AC27" s="63" t="n"/>
      <c r="AD27" s="64" t="n"/>
      <c r="AE27" s="73" t="n"/>
      <c r="AF27" s="64" t="n"/>
      <c r="AG27" s="74" t="n"/>
      <c r="AH27" s="64" t="n"/>
    </row>
    <row r="28" ht="12.76" customHeight="1">
      <c r="A28" s="48" t="n"/>
      <c r="B28" s="48" t="n"/>
      <c r="C28" s="49" t="n"/>
      <c r="D28" s="68">
        <f>IF(C28&lt;1,"0",IF(C28&lt;$C$14*0.5,"2",IF(C28&lt;$C$14*0.7,"4",IF(C28&lt;$C$14*0.85,"5","6"))))</f>
        <v/>
      </c>
      <c r="E28" s="51" t="n"/>
      <c r="F28" s="52">
        <f>IF(E28=0,"0",IF(E28&lt;9.5,"2",IF(E28&lt;14,"4",IF(E28&lt;17,"5","6"))))</f>
        <v/>
      </c>
      <c r="G28" s="69" t="n"/>
      <c r="H28" s="52">
        <f>IF(G28=0,"0",IF(G28&lt;9.5,"2",IF(G28&lt;14,"4",IF(G28&lt;17,"5","6"))))</f>
        <v/>
      </c>
      <c r="I28" s="69" t="n"/>
      <c r="J28" s="52">
        <f>IF(I28=0,"0",IF(I28&lt;9.5,"2",IF(I28&lt;14,"4",IF(I28&lt;17,"5","6"))))</f>
        <v/>
      </c>
      <c r="K28" s="70" t="n"/>
      <c r="L28" s="55">
        <f>IF(K28=0,"0",IF(K28&lt;9.5,"2",IF(K28&lt;14,"4",IF(K28&lt;17,"5","6"))))</f>
        <v/>
      </c>
      <c r="M28" s="69" t="n"/>
      <c r="N28" s="52">
        <f>IF(M28=0,"0",IF(M28&lt;9.5,"2",IF(M28&lt;14,"4",IF(M28&lt;17,"5","6"))))</f>
        <v/>
      </c>
      <c r="O28" s="69" t="n"/>
      <c r="P28" s="52">
        <f>IF(O28=0,"0",IF(O28&lt;9.5,"2",IF(O28&lt;14,"4",IF(O28&lt;17,"5","6"))))</f>
        <v/>
      </c>
      <c r="Q28" s="71" t="n"/>
      <c r="R28" s="72">
        <f>IF(Q28=0,"0",IF(Q28&lt;9.5,"2",IF(Q28&lt;14,"4",IF(Q28&lt;17,"5","6"))))</f>
        <v/>
      </c>
      <c r="S28" s="58" t="n"/>
      <c r="T28" s="59">
        <f>(F28*$J$9)+(H28*$K$9)+(J28*$L$9)+(L28*$M$9)+(N28*$N$9)+(P28*$O$9)+(R28*$P$9)</f>
        <v/>
      </c>
      <c r="U28" s="58" t="n"/>
      <c r="V28" s="58" t="n"/>
      <c r="W28" s="58" t="n"/>
      <c r="X28" s="58" t="n"/>
      <c r="Y28" s="61">
        <f>(S28*$S$14)+(T28*$U$14)+(V28*$V$14)+(W28*$W$14)+(X28*$X$14)</f>
        <v/>
      </c>
      <c r="Z28" s="62">
        <f>IF(Y28&lt;3.5,"Módulo em atraso",IF(Y28&lt;4.5,"Suficiente",IF(Y28&lt;5.5,"Bom","Muito bom")))</f>
        <v/>
      </c>
      <c r="AA28" s="63" t="n"/>
      <c r="AB28" s="63" t="n"/>
      <c r="AC28" s="63" t="n"/>
      <c r="AD28" s="64" t="n"/>
      <c r="AE28" s="73" t="n"/>
      <c r="AF28" s="64" t="n"/>
      <c r="AG28" s="67" t="n"/>
      <c r="AH28" s="66" t="n"/>
    </row>
    <row r="29" ht="12.76" customHeight="1">
      <c r="A29" s="48" t="n"/>
      <c r="B29" s="48" t="n"/>
      <c r="C29" s="49" t="n"/>
      <c r="D29" s="68">
        <f>IF(C29&lt;1,"0",IF(C29&lt;$C$14*0.5,"2",IF(C29&lt;$C$14*0.7,"4",IF(C29&lt;$C$14*0.85,"5","6"))))</f>
        <v/>
      </c>
      <c r="E29" s="51" t="n"/>
      <c r="F29" s="52">
        <f>IF(E29=0,"0",IF(E29&lt;9.5,"2",IF(E29&lt;14,"4",IF(E29&lt;17,"5","6"))))</f>
        <v/>
      </c>
      <c r="G29" s="69" t="n"/>
      <c r="H29" s="52">
        <f>IF(G29=0,"0",IF(G29&lt;9.5,"2",IF(G29&lt;14,"4",IF(G29&lt;17,"5","6"))))</f>
        <v/>
      </c>
      <c r="I29" s="69" t="n"/>
      <c r="J29" s="52">
        <f>IF(I29=0,"0",IF(I29&lt;9.5,"2",IF(I29&lt;14,"4",IF(I29&lt;17,"5","6"))))</f>
        <v/>
      </c>
      <c r="K29" s="70" t="n"/>
      <c r="L29" s="55">
        <f>IF(K29=0,"0",IF(K29&lt;9.5,"2",IF(K29&lt;14,"4",IF(K29&lt;17,"5","6"))))</f>
        <v/>
      </c>
      <c r="M29" s="69" t="n"/>
      <c r="N29" s="52">
        <f>IF(M29=0,"0",IF(M29&lt;9.5,"2",IF(M29&lt;14,"4",IF(M29&lt;17,"5","6"))))</f>
        <v/>
      </c>
      <c r="O29" s="69" t="n"/>
      <c r="P29" s="52">
        <f>IF(O29=0,"0",IF(O29&lt;9.5,"2",IF(O29&lt;14,"4",IF(O29&lt;17,"5","6"))))</f>
        <v/>
      </c>
      <c r="Q29" s="71" t="n"/>
      <c r="R29" s="72">
        <f>IF(Q29=0,"0",IF(Q29&lt;9.5,"2",IF(Q29&lt;14,"4",IF(Q29&lt;17,"5","6"))))</f>
        <v/>
      </c>
      <c r="S29" s="58" t="n"/>
      <c r="T29" s="59">
        <f>(F29*$J$9)+(H29*$K$9)+(J29*$L$9)+(L29*$M$9)+(N29*$N$9)+(P29*$O$9)+(R29*$P$9)</f>
        <v/>
      </c>
      <c r="U29" s="58" t="n"/>
      <c r="V29" s="58" t="n"/>
      <c r="W29" s="58" t="n"/>
      <c r="X29" s="58" t="n"/>
      <c r="Y29" s="61">
        <f>(S29*$S$14)+(T29*$U$14)+(V29*$V$14)+(W29*$W$14)+(X29*$X$14)</f>
        <v/>
      </c>
      <c r="Z29" s="62">
        <f>IF(Y29&lt;3.5,"Módulo em atraso",IF(Y29&lt;4.5,"Suficiente",IF(Y29&lt;5.5,"Bom","Muito bom")))</f>
        <v/>
      </c>
      <c r="AA29" s="63" t="n"/>
      <c r="AB29" s="63" t="n"/>
      <c r="AC29" s="63" t="n"/>
      <c r="AD29" s="64" t="n"/>
      <c r="AE29" s="73" t="n"/>
      <c r="AF29" s="64" t="n"/>
      <c r="AG29" s="74" t="n"/>
      <c r="AH29" s="64" t="n"/>
    </row>
    <row r="30" ht="12.76" customHeight="1">
      <c r="A30" s="48" t="n"/>
      <c r="B30" s="48" t="n"/>
      <c r="C30" s="49" t="n"/>
      <c r="D30" s="68">
        <f>IF(C30&lt;1,"0",IF(C30&lt;$C$14*0.5,"2",IF(C30&lt;$C$14*0.7,"4",IF(C30&lt;$C$14*0.85,"5","6"))))</f>
        <v/>
      </c>
      <c r="E30" s="51" t="n"/>
      <c r="F30" s="52">
        <f>IF(E30=0,"0",IF(E30&lt;9.5,"2",IF(E30&lt;14,"4",IF(E30&lt;17,"5","6"))))</f>
        <v/>
      </c>
      <c r="G30" s="69" t="n"/>
      <c r="H30" s="52">
        <f>IF(G30=0,"0",IF(G30&lt;9.5,"2",IF(G30&lt;14,"4",IF(G30&lt;17,"5","6"))))</f>
        <v/>
      </c>
      <c r="I30" s="69" t="n"/>
      <c r="J30" s="52">
        <f>IF(I30=0,"0",IF(I30&lt;9.5,"2",IF(I30&lt;14,"4",IF(I30&lt;17,"5","6"))))</f>
        <v/>
      </c>
      <c r="K30" s="70" t="n"/>
      <c r="L30" s="55">
        <f>IF(K30=0,"0",IF(K30&lt;9.5,"2",IF(K30&lt;14,"4",IF(K30&lt;17,"5","6"))))</f>
        <v/>
      </c>
      <c r="M30" s="69" t="n"/>
      <c r="N30" s="52">
        <f>IF(M30=0,"0",IF(M30&lt;9.5,"2",IF(M30&lt;14,"4",IF(M30&lt;17,"5","6"))))</f>
        <v/>
      </c>
      <c r="O30" s="69" t="n"/>
      <c r="P30" s="52">
        <f>IF(O30=0,"0",IF(O30&lt;9.5,"2",IF(O30&lt;14,"4",IF(O30&lt;17,"5","6"))))</f>
        <v/>
      </c>
      <c r="Q30" s="71" t="n"/>
      <c r="R30" s="72">
        <f>IF(Q30=0,"0",IF(Q30&lt;9.5,"2",IF(Q30&lt;14,"4",IF(Q30&lt;17,"5","6"))))</f>
        <v/>
      </c>
      <c r="S30" s="58" t="n"/>
      <c r="T30" s="59">
        <f>(F30*$J$9)+(H30*$K$9)+(J30*$L$9)+(L30*$M$9)+(N30*$N$9)+(P30*$O$9)+(R30*$P$9)</f>
        <v/>
      </c>
      <c r="U30" s="58" t="n"/>
      <c r="V30" s="58" t="n"/>
      <c r="W30" s="58" t="n"/>
      <c r="X30" s="58" t="n"/>
      <c r="Y30" s="61">
        <f>(S30*$S$14)+(T30*$U$14)+(V30*$V$14)+(W30*$W$14)+(X30*$X$14)</f>
        <v/>
      </c>
      <c r="Z30" s="62">
        <f>IF(Y30&lt;3.5,"Módulo em atraso",IF(Y30&lt;4.5,"Suficiente",IF(Y30&lt;5.5,"Bom","Muito bom")))</f>
        <v/>
      </c>
      <c r="AA30" s="63" t="n"/>
      <c r="AB30" s="63" t="n"/>
      <c r="AC30" s="63" t="n"/>
      <c r="AD30" s="64" t="n"/>
      <c r="AE30" s="73" t="n"/>
      <c r="AF30" s="64" t="n"/>
      <c r="AG30" s="67" t="n"/>
      <c r="AH30" s="66" t="n"/>
    </row>
    <row r="31" ht="12.76" customHeight="1">
      <c r="A31" s="48" t="n"/>
      <c r="B31" s="48" t="n"/>
      <c r="C31" s="49" t="n"/>
      <c r="D31" s="68">
        <f>IF(C31&lt;1,"0",IF(C31&lt;$C$14*0.5,"2",IF(C31&lt;$C$14*0.7,"4",IF(C31&lt;$C$14*0.85,"5","6"))))</f>
        <v/>
      </c>
      <c r="E31" s="51" t="n"/>
      <c r="F31" s="52">
        <f>IF(E31=0,"0",IF(E31&lt;9.5,"2",IF(E31&lt;14,"4",IF(E31&lt;17,"5","6"))))</f>
        <v/>
      </c>
      <c r="G31" s="69" t="n"/>
      <c r="H31" s="52">
        <f>IF(G31=0,"0",IF(G31&lt;9.5,"2",IF(G31&lt;14,"4",IF(G31&lt;17,"5","6"))))</f>
        <v/>
      </c>
      <c r="I31" s="69" t="n"/>
      <c r="J31" s="52">
        <f>IF(I31=0,"0",IF(I31&lt;9.5,"2",IF(I31&lt;14,"4",IF(I31&lt;17,"5","6"))))</f>
        <v/>
      </c>
      <c r="K31" s="70" t="n"/>
      <c r="L31" s="55">
        <f>IF(K31=0,"0",IF(K31&lt;9.5,"2",IF(K31&lt;14,"4",IF(K31&lt;17,"5","6"))))</f>
        <v/>
      </c>
      <c r="M31" s="69" t="n"/>
      <c r="N31" s="52">
        <f>IF(M31=0,"0",IF(M31&lt;9.5,"2",IF(M31&lt;14,"4",IF(M31&lt;17,"5","6"))))</f>
        <v/>
      </c>
      <c r="O31" s="69" t="n"/>
      <c r="P31" s="52">
        <f>IF(O31=0,"0",IF(O31&lt;9.5,"2",IF(O31&lt;14,"4",IF(O31&lt;17,"5","6"))))</f>
        <v/>
      </c>
      <c r="Q31" s="71" t="n"/>
      <c r="R31" s="72">
        <f>IF(Q31=0,"0",IF(Q31&lt;9.5,"2",IF(Q31&lt;14,"4",IF(Q31&lt;17,"5","6"))))</f>
        <v/>
      </c>
      <c r="S31" s="58" t="n"/>
      <c r="T31" s="59">
        <f>(F31*$J$9)+(H31*$K$9)+(J31*$L$9)+(L31*$M$9)+(N31*$N$9)+(P31*$O$9)+(R31*$P$9)</f>
        <v/>
      </c>
      <c r="U31" s="58" t="n"/>
      <c r="V31" s="58" t="n"/>
      <c r="W31" s="58" t="n"/>
      <c r="X31" s="58" t="n"/>
      <c r="Y31" s="61">
        <f>(S31*$S$14)+(T31*$U$14)+(V31*$V$14)+(W31*$W$14)+(X31*$X$14)</f>
        <v/>
      </c>
      <c r="Z31" s="62">
        <f>IF(Y31&lt;3.5,"Módulo em atraso",IF(Y31&lt;4.5,"Suficiente",IF(Y31&lt;5.5,"Bom","Muito bom")))</f>
        <v/>
      </c>
      <c r="AA31" s="63" t="n"/>
      <c r="AB31" s="63" t="n"/>
      <c r="AC31" s="63" t="n"/>
      <c r="AD31" s="64" t="n"/>
      <c r="AE31" s="73" t="n"/>
      <c r="AF31" s="64" t="n"/>
      <c r="AG31" s="74" t="n"/>
      <c r="AH31" s="64" t="n"/>
    </row>
    <row r="32" ht="12.76" customHeight="1">
      <c r="A32" s="48" t="n"/>
      <c r="B32" s="48" t="n"/>
      <c r="C32" s="49" t="n"/>
      <c r="D32" s="68">
        <f>IF(C32&lt;1,"0",IF(C32&lt;$C$14*0.5,"2",IF(C32&lt;$C$14*0.7,"4",IF(C32&lt;$C$14*0.85,"5","6"))))</f>
        <v/>
      </c>
      <c r="E32" s="51" t="n"/>
      <c r="F32" s="52">
        <f>IF(E32=0,"0",IF(E32&lt;9.5,"2",IF(E32&lt;14,"4",IF(E32&lt;17,"5","6"))))</f>
        <v/>
      </c>
      <c r="G32" s="69" t="n"/>
      <c r="H32" s="52">
        <f>IF(G32=0,"0",IF(G32&lt;9.5,"2",IF(G32&lt;14,"4",IF(G32&lt;17,"5","6"))))</f>
        <v/>
      </c>
      <c r="I32" s="69" t="n"/>
      <c r="J32" s="52">
        <f>IF(I32=0,"0",IF(I32&lt;9.5,"2",IF(I32&lt;14,"4",IF(I32&lt;17,"5","6"))))</f>
        <v/>
      </c>
      <c r="K32" s="70" t="n"/>
      <c r="L32" s="55">
        <f>IF(K32=0,"0",IF(K32&lt;9.5,"2",IF(K32&lt;14,"4",IF(K32&lt;17,"5","6"))))</f>
        <v/>
      </c>
      <c r="M32" s="69" t="n"/>
      <c r="N32" s="52">
        <f>IF(M32=0,"0",IF(M32&lt;9.5,"2",IF(M32&lt;14,"4",IF(M32&lt;17,"5","6"))))</f>
        <v/>
      </c>
      <c r="O32" s="69" t="n"/>
      <c r="P32" s="52">
        <f>IF(O32=0,"0",IF(O32&lt;9.5,"2",IF(O32&lt;14,"4",IF(O32&lt;17,"5","6"))))</f>
        <v/>
      </c>
      <c r="Q32" s="71" t="n"/>
      <c r="R32" s="72">
        <f>IF(Q32=0,"0",IF(Q32&lt;9.5,"2",IF(Q32&lt;14,"4",IF(Q32&lt;17,"5","6"))))</f>
        <v/>
      </c>
      <c r="S32" s="58" t="n"/>
      <c r="T32" s="59">
        <f>(F32*$J$9)+(H32*$K$9)+(J32*$L$9)+(L32*$M$9)+(N32*$N$9)+(P32*$O$9)+(R32*$P$9)</f>
        <v/>
      </c>
      <c r="U32" s="58" t="n"/>
      <c r="V32" s="58" t="n"/>
      <c r="W32" s="58" t="n"/>
      <c r="X32" s="58" t="n"/>
      <c r="Y32" s="61">
        <f>(S32*$S$14)+(T32*$U$14)+(V32*$V$14)+(W32*$W$14)+(X32*$X$14)</f>
        <v/>
      </c>
      <c r="Z32" s="62">
        <f>IF(Y32&lt;3.5,"Módulo em atraso",IF(Y32&lt;4.5,"Suficiente",IF(Y32&lt;5.5,"Bom","Muito bom")))</f>
        <v/>
      </c>
      <c r="AA32" s="63" t="n"/>
      <c r="AB32" s="63" t="n"/>
      <c r="AC32" s="63" t="n"/>
      <c r="AD32" s="64" t="n"/>
      <c r="AE32" s="73" t="n"/>
      <c r="AF32" s="64" t="n"/>
      <c r="AG32" s="74" t="n"/>
      <c r="AH32" s="64" t="n"/>
    </row>
    <row r="33" ht="12.76" customHeight="1">
      <c r="A33" s="48" t="n"/>
      <c r="B33" s="48" t="n"/>
      <c r="C33" s="49" t="n"/>
      <c r="D33" s="68">
        <f>IF(C33&lt;1,"0",IF(C33&lt;$C$14*0.5,"2",IF(C33&lt;$C$14*0.7,"4",IF(C33&lt;$C$14*0.85,"5","6"))))</f>
        <v/>
      </c>
      <c r="E33" s="51" t="n"/>
      <c r="F33" s="52">
        <f>IF(E33=0,"0",IF(E33&lt;9.5,"2",IF(E33&lt;14,"4",IF(E33&lt;17,"5","6"))))</f>
        <v/>
      </c>
      <c r="G33" s="69" t="n"/>
      <c r="H33" s="52">
        <f>IF(G33=0,"0",IF(G33&lt;9.5,"2",IF(G33&lt;14,"4",IF(G33&lt;17,"5","6"))))</f>
        <v/>
      </c>
      <c r="I33" s="69" t="n"/>
      <c r="J33" s="52">
        <f>IF(I33=0,"0",IF(I33&lt;9.5,"2",IF(I33&lt;14,"4",IF(I33&lt;17,"5","6"))))</f>
        <v/>
      </c>
      <c r="K33" s="70" t="n"/>
      <c r="L33" s="55">
        <f>IF(K33=0,"0",IF(K33&lt;9.5,"2",IF(K33&lt;14,"4",IF(K33&lt;17,"5","6"))))</f>
        <v/>
      </c>
      <c r="M33" s="69" t="n"/>
      <c r="N33" s="52">
        <f>IF(M33=0,"0",IF(M33&lt;9.5,"2",IF(M33&lt;14,"4",IF(M33&lt;17,"5","6"))))</f>
        <v/>
      </c>
      <c r="O33" s="69" t="n"/>
      <c r="P33" s="52">
        <f>IF(O33=0,"0",IF(O33&lt;9.5,"2",IF(O33&lt;14,"4",IF(O33&lt;17,"5","6"))))</f>
        <v/>
      </c>
      <c r="Q33" s="71" t="n"/>
      <c r="R33" s="72">
        <f>IF(Q33=0,"0",IF(Q33&lt;9.5,"2",IF(Q33&lt;14,"4",IF(Q33&lt;17,"5","6"))))</f>
        <v/>
      </c>
      <c r="S33" s="58" t="n"/>
      <c r="T33" s="59">
        <f>(F33*$J$9)+(H33*$K$9)+(J33*$L$9)+(L33*$M$9)+(N33*$N$9)+(P33*$O$9)+(R33*$P$9)</f>
        <v/>
      </c>
      <c r="U33" s="58" t="n"/>
      <c r="V33" s="58" t="n"/>
      <c r="W33" s="58" t="n"/>
      <c r="X33" s="58" t="n"/>
      <c r="Y33" s="61">
        <f>(S33*$S$14)+(T33*$U$14)+(V33*$V$14)+(W33*$W$14)+(X33*$X$14)</f>
        <v/>
      </c>
      <c r="Z33" s="62">
        <f>IF(Y33&lt;3.5,"Módulo em atraso",IF(Y33&lt;4.5,"Suficiente",IF(Y33&lt;5.5,"Bom","Muito bom")))</f>
        <v/>
      </c>
      <c r="AA33" s="63" t="n"/>
      <c r="AB33" s="63" t="n"/>
      <c r="AC33" s="63" t="n"/>
      <c r="AD33" s="64" t="n"/>
      <c r="AE33" s="73" t="n"/>
      <c r="AF33" s="64" t="n"/>
      <c r="AG33" s="74" t="n"/>
      <c r="AH33" s="64" t="n"/>
    </row>
    <row r="34" ht="12.76" customHeight="1">
      <c r="A34" s="48" t="n"/>
      <c r="B34" s="48" t="n"/>
      <c r="C34" s="49" t="n"/>
      <c r="D34" s="68">
        <f>IF(C34&lt;1,"0",IF(C34&lt;$C$14*0.5,"2",IF(C34&lt;$C$14*0.7,"4",IF(C34&lt;$C$14*0.85,"5","6"))))</f>
        <v/>
      </c>
      <c r="E34" s="51" t="n"/>
      <c r="F34" s="52">
        <f>IF(E34=0,"0",IF(E34&lt;9.5,"2",IF(E34&lt;14,"4",IF(E34&lt;17,"5","6"))))</f>
        <v/>
      </c>
      <c r="G34" s="69" t="n"/>
      <c r="H34" s="52">
        <f>IF(G34=0,"0",IF(G34&lt;9.5,"2",IF(G34&lt;14,"4",IF(G34&lt;17,"5","6"))))</f>
        <v/>
      </c>
      <c r="I34" s="69" t="n"/>
      <c r="J34" s="52">
        <f>IF(I34=0,"0",IF(I34&lt;9.5,"2",IF(I34&lt;14,"4",IF(I34&lt;17,"5","6"))))</f>
        <v/>
      </c>
      <c r="K34" s="70" t="n"/>
      <c r="L34" s="55">
        <f>IF(K34=0,"0",IF(K34&lt;9.5,"2",IF(K34&lt;14,"4",IF(K34&lt;17,"5","6"))))</f>
        <v/>
      </c>
      <c r="M34" s="69" t="n"/>
      <c r="N34" s="52">
        <f>IF(M34=0,"0",IF(M34&lt;9.5,"2",IF(M34&lt;14,"4",IF(M34&lt;17,"5","6"))))</f>
        <v/>
      </c>
      <c r="O34" s="69" t="n"/>
      <c r="P34" s="52">
        <f>IF(O34=0,"0",IF(O34&lt;9.5,"2",IF(O34&lt;14,"4",IF(O34&lt;17,"5","6"))))</f>
        <v/>
      </c>
      <c r="Q34" s="71" t="n"/>
      <c r="R34" s="72">
        <f>IF(Q34=0,"0",IF(Q34&lt;9.5,"2",IF(Q34&lt;14,"4",IF(Q34&lt;17,"5","6"))))</f>
        <v/>
      </c>
      <c r="S34" s="58" t="n"/>
      <c r="T34" s="59">
        <f>(F34*$J$9)+(H34*$K$9)+(J34*$L$9)+(L34*$M$9)+(N34*$N$9)+(P34*$O$9)+(R34*$P$9)</f>
        <v/>
      </c>
      <c r="U34" s="58" t="n"/>
      <c r="V34" s="58" t="n"/>
      <c r="W34" s="58" t="n"/>
      <c r="X34" s="58" t="n"/>
      <c r="Y34" s="61">
        <f>(S34*$S$14)+(T34*$U$14)+(V34*$V$14)+(W34*$W$14)+(X34*$X$14)</f>
        <v/>
      </c>
      <c r="Z34" s="62">
        <f>IF(Y34&lt;3.5,"Módulo em atraso",IF(Y34&lt;4.5,"Suficiente",IF(Y34&lt;5.5,"Bom","Muito bom")))</f>
        <v/>
      </c>
      <c r="AA34" s="63" t="n"/>
      <c r="AB34" s="63" t="n"/>
      <c r="AC34" s="63" t="n"/>
      <c r="AD34" s="64" t="n"/>
      <c r="AE34" s="73" t="n"/>
      <c r="AF34" s="64" t="n"/>
      <c r="AG34" s="74" t="n"/>
      <c r="AH34" s="64" t="n"/>
    </row>
    <row r="35" ht="12.76" customHeight="1">
      <c r="A35" s="48" t="n"/>
      <c r="B35" s="48" t="n"/>
      <c r="C35" s="49" t="n"/>
      <c r="D35" s="68">
        <f>IF(C35&lt;1,"0",IF(C35&lt;$C$14*0.5,"2",IF(C35&lt;$C$14*0.7,"4",IF(C35&lt;$C$14*0.85,"5","6"))))</f>
        <v/>
      </c>
      <c r="E35" s="51" t="n"/>
      <c r="F35" s="52">
        <f>IF(E35=0,"0",IF(E35&lt;9.5,"2",IF(E35&lt;14,"4",IF(E35&lt;17,"5","6"))))</f>
        <v/>
      </c>
      <c r="G35" s="69" t="n"/>
      <c r="H35" s="52">
        <f>IF(G35=0,"0",IF(G35&lt;9.5,"2",IF(G35&lt;14,"4",IF(G35&lt;17,"5","6"))))</f>
        <v/>
      </c>
      <c r="I35" s="69" t="n"/>
      <c r="J35" s="52">
        <f>IF(I35=0,"0",IF(I35&lt;9.5,"2",IF(I35&lt;14,"4",IF(I35&lt;17,"5","6"))))</f>
        <v/>
      </c>
      <c r="K35" s="70" t="n"/>
      <c r="L35" s="55">
        <f>IF(K35=0,"0",IF(K35&lt;9.5,"2",IF(K35&lt;14,"4",IF(K35&lt;17,"5","6"))))</f>
        <v/>
      </c>
      <c r="M35" s="69" t="n"/>
      <c r="N35" s="52">
        <f>IF(M35=0,"0",IF(M35&lt;9.5,"2",IF(M35&lt;14,"4",IF(M35&lt;17,"5","6"))))</f>
        <v/>
      </c>
      <c r="O35" s="69" t="n"/>
      <c r="P35" s="52">
        <f>IF(O35=0,"0",IF(O35&lt;9.5,"2",IF(O35&lt;14,"4",IF(O35&lt;17,"5","6"))))</f>
        <v/>
      </c>
      <c r="Q35" s="71" t="n"/>
      <c r="R35" s="72">
        <f>IF(Q35=0,"0",IF(Q35&lt;9.5,"2",IF(Q35&lt;14,"4",IF(Q35&lt;17,"5","6"))))</f>
        <v/>
      </c>
      <c r="S35" s="58" t="n"/>
      <c r="T35" s="59">
        <f>(F35*$J$9)+(H35*$K$9)+(J35*$L$9)+(L35*$M$9)+(N35*$N$9)+(P35*$O$9)+(R35*$P$9)</f>
        <v/>
      </c>
      <c r="U35" s="58" t="n"/>
      <c r="V35" s="58" t="n"/>
      <c r="W35" s="58" t="n"/>
      <c r="X35" s="58" t="n"/>
      <c r="Y35" s="61">
        <f>(S35*$S$14)+(T35*$U$14)+(V35*$V$14)+(W35*$W$14)+(X35*$X$14)</f>
        <v/>
      </c>
      <c r="Z35" s="62">
        <f>IF(Y35&lt;3.5,"Módulo em atraso",IF(Y35&lt;4.5,"Suficiente",IF(Y35&lt;5.5,"Bom","Muito bom")))</f>
        <v/>
      </c>
      <c r="AA35" s="63" t="n"/>
      <c r="AB35" s="63" t="n"/>
      <c r="AC35" s="63" t="n"/>
      <c r="AD35" s="64" t="n"/>
      <c r="AE35" s="73" t="n"/>
      <c r="AF35" s="64" t="n"/>
      <c r="AG35" s="74" t="n"/>
      <c r="AH35" s="64" t="n"/>
    </row>
    <row r="36" ht="12.76" customHeight="1">
      <c r="A36" s="48" t="n"/>
      <c r="B36" s="48" t="n"/>
      <c r="C36" s="49" t="n"/>
      <c r="D36" s="68">
        <f>IF(C36&lt;1,"0",IF(C36&lt;$C$14*0.5,"2",IF(C36&lt;$C$14*0.7,"4",IF(C36&lt;$C$14*0.85,"5","6"))))</f>
        <v/>
      </c>
      <c r="E36" s="51" t="n"/>
      <c r="F36" s="52">
        <f>IF(E36=0,"0",IF(E36&lt;9.5,"2",IF(E36&lt;14,"4",IF(E36&lt;17,"5","6"))))</f>
        <v/>
      </c>
      <c r="G36" s="69" t="n"/>
      <c r="H36" s="52">
        <f>IF(G36=0,"0",IF(G36&lt;9.5,"2",IF(G36&lt;14,"4",IF(G36&lt;17,"5","6"))))</f>
        <v/>
      </c>
      <c r="I36" s="69" t="n"/>
      <c r="J36" s="52">
        <f>IF(I36=0,"0",IF(I36&lt;9.5,"2",IF(I36&lt;14,"4",IF(I36&lt;17,"5","6"))))</f>
        <v/>
      </c>
      <c r="K36" s="70" t="n"/>
      <c r="L36" s="55">
        <f>IF(K36=0,"0",IF(K36&lt;9.5,"2",IF(K36&lt;14,"4",IF(K36&lt;17,"5","6"))))</f>
        <v/>
      </c>
      <c r="M36" s="69" t="n"/>
      <c r="N36" s="52">
        <f>IF(M36=0,"0",IF(M36&lt;9.5,"2",IF(M36&lt;14,"4",IF(M36&lt;17,"5","6"))))</f>
        <v/>
      </c>
      <c r="O36" s="69" t="n"/>
      <c r="P36" s="52">
        <f>IF(O36=0,"0",IF(O36&lt;9.5,"2",IF(O36&lt;14,"4",IF(O36&lt;17,"5","6"))))</f>
        <v/>
      </c>
      <c r="Q36" s="71" t="n"/>
      <c r="R36" s="72">
        <f>IF(Q36=0,"0",IF(Q36&lt;9.5,"2",IF(Q36&lt;14,"4",IF(Q36&lt;17,"5","6"))))</f>
        <v/>
      </c>
      <c r="S36" s="58" t="n"/>
      <c r="T36" s="59">
        <f>(F36*$J$9)+(H36*$K$9)+(J36*$L$9)+(L36*$M$9)+(N36*$N$9)+(P36*$O$9)+(R36*$P$9)</f>
        <v/>
      </c>
      <c r="U36" s="58" t="n"/>
      <c r="V36" s="58" t="n"/>
      <c r="W36" s="58" t="n"/>
      <c r="X36" s="58" t="n"/>
      <c r="Y36" s="61">
        <f>(S36*$S$14)+(T36*$U$14)+(V36*$V$14)+(W36*$W$14)+(X36*$X$14)</f>
        <v/>
      </c>
      <c r="Z36" s="62">
        <f>IF(Y36&lt;3.5,"Módulo em atraso",IF(Y36&lt;4.5,"Suficiente",IF(Y36&lt;5.5,"Bom","Muito bom")))</f>
        <v/>
      </c>
      <c r="AA36" s="63" t="n"/>
      <c r="AB36" s="63" t="n"/>
      <c r="AC36" s="63" t="n"/>
      <c r="AD36" s="64" t="n"/>
      <c r="AE36" s="73" t="n"/>
      <c r="AF36" s="64" t="n"/>
      <c r="AG36" s="74" t="n"/>
      <c r="AH36" s="64" t="n"/>
    </row>
    <row r="37" ht="12.76" customHeight="1">
      <c r="A37" s="48" t="n"/>
      <c r="B37" s="48" t="n"/>
      <c r="C37" s="49" t="n"/>
      <c r="D37" s="68">
        <f>IF(C37&lt;1,"0",IF(C37&lt;$C$14*0.5,"2",IF(C37&lt;$C$14*0.7,"4",IF(C37&lt;$C$14*0.85,"5","6"))))</f>
        <v/>
      </c>
      <c r="E37" s="51" t="n"/>
      <c r="F37" s="52">
        <f>IF(E37=0,"0",IF(E37&lt;9.5,"2",IF(E37&lt;14,"4",IF(E37&lt;17,"5","6"))))</f>
        <v/>
      </c>
      <c r="G37" s="69" t="n"/>
      <c r="H37" s="52">
        <f>IF(G37=0,"0",IF(G37&lt;9.5,"2",IF(G37&lt;14,"4",IF(G37&lt;17,"5","6"))))</f>
        <v/>
      </c>
      <c r="I37" s="69" t="n"/>
      <c r="J37" s="52">
        <f>IF(I37=0,"0",IF(I37&lt;9.5,"2",IF(I37&lt;14,"4",IF(I37&lt;17,"5","6"))))</f>
        <v/>
      </c>
      <c r="K37" s="70" t="n"/>
      <c r="L37" s="55">
        <f>IF(K37=0,"0",IF(K37&lt;9.5,"2",IF(K37&lt;14,"4",IF(K37&lt;17,"5","6"))))</f>
        <v/>
      </c>
      <c r="M37" s="69" t="n"/>
      <c r="N37" s="52">
        <f>IF(M37=0,"0",IF(M37&lt;9.5,"2",IF(M37&lt;14,"4",IF(M37&lt;17,"5","6"))))</f>
        <v/>
      </c>
      <c r="O37" s="69" t="n"/>
      <c r="P37" s="52">
        <f>IF(O37=0,"0",IF(O37&lt;9.5,"2",IF(O37&lt;14,"4",IF(O37&lt;17,"5","6"))))</f>
        <v/>
      </c>
      <c r="Q37" s="71" t="n"/>
      <c r="R37" s="72">
        <f>IF(Q37=0,"0",IF(Q37&lt;9.5,"2",IF(Q37&lt;14,"4",IF(Q37&lt;17,"5","6"))))</f>
        <v/>
      </c>
      <c r="S37" s="58" t="n"/>
      <c r="T37" s="59">
        <f>(F37*$J$9)+(H37*$K$9)+(J37*$L$9)+(L37*$M$9)+(N37*$N$9)+(P37*$O$9)+(R37*$P$9)</f>
        <v/>
      </c>
      <c r="U37" s="58" t="n"/>
      <c r="V37" s="58" t="n"/>
      <c r="W37" s="58" t="n"/>
      <c r="X37" s="58" t="n"/>
      <c r="Y37" s="61">
        <f>(S37*$S$14)+(T37*$U$14)+(V37*$V$14)+(W37*$W$14)+(X37*$X$14)</f>
        <v/>
      </c>
      <c r="Z37" s="62">
        <f>IF(Y37&lt;3.5,"Módulo em atraso",IF(Y37&lt;4.5,"Suficiente",IF(Y37&lt;5.5,"Bom","Muito bom")))</f>
        <v/>
      </c>
      <c r="AA37" s="63" t="n"/>
      <c r="AB37" s="63" t="n"/>
      <c r="AC37" s="63" t="n"/>
      <c r="AD37" s="64" t="n"/>
      <c r="AE37" s="73" t="n"/>
      <c r="AF37" s="64" t="n"/>
      <c r="AG37" s="74" t="n"/>
      <c r="AH37" s="64" t="n"/>
    </row>
    <row r="38" ht="12.76" customHeight="1">
      <c r="A38" s="1" t="n"/>
      <c r="B38" s="80" t="n"/>
      <c r="C38" s="81" t="n"/>
      <c r="D38" s="82" t="n"/>
      <c r="E38" s="79" t="n"/>
      <c r="F38" s="83" t="n"/>
      <c r="G38" s="79" t="n"/>
      <c r="H38" s="83" t="n"/>
      <c r="I38" s="79" t="n"/>
      <c r="J38" s="83" t="n"/>
      <c r="K38" s="79" t="n"/>
      <c r="L38" s="83" t="n"/>
      <c r="M38" s="79" t="n"/>
      <c r="N38" s="83" t="n"/>
      <c r="O38" s="79" t="n"/>
      <c r="P38" s="83" t="n"/>
      <c r="Q38" s="79" t="n"/>
      <c r="R38" s="83" t="n"/>
      <c r="S38" s="83" t="n"/>
      <c r="T38" s="82" t="n"/>
      <c r="U38" s="83" t="n"/>
      <c r="V38" s="83" t="n"/>
      <c r="W38" s="83" t="n"/>
      <c r="X38" s="83" t="n"/>
      <c r="Y38" s="82" t="n"/>
      <c r="Z38" s="81" t="n"/>
      <c r="AA38" s="81" t="n"/>
      <c r="AB38" s="81" t="n"/>
      <c r="AC38" s="81" t="n"/>
      <c r="AD38" s="81" t="n"/>
      <c r="AE38" s="84" t="n"/>
      <c r="AF38" s="84" t="n"/>
      <c r="AG38" s="85" t="n"/>
      <c r="AH38" s="85" t="n"/>
    </row>
    <row r="39" ht="12.76" customHeight="1">
      <c r="A39" s="7" t="n"/>
      <c r="B39" s="7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6" t="inlineStr">
        <is>
          <t xml:space="preserve">Assinatura Docente: </t>
        </is>
      </c>
      <c r="T39" s="6" t="n"/>
      <c r="U39" s="6" t="n"/>
      <c r="V39" s="6" t="inlineStr">
        <is>
          <t>2/3/2026</t>
        </is>
      </c>
      <c r="Y39" s="5" t="n"/>
      <c r="Z39" s="5" t="n"/>
      <c r="AA39" s="5" t="n"/>
      <c r="AB39" s="5" t="n"/>
      <c r="AC39" s="5" t="n"/>
      <c r="AD39" s="6" t="inlineStr">
        <is>
          <t>Data:</t>
        </is>
      </c>
    </row>
    <row r="40" ht="12.76" customHeight="1">
      <c r="A40" s="1" t="n"/>
      <c r="B40" s="1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</row>
    <row r="41" ht="12.76" customHeight="1">
      <c r="A41" s="1" t="n"/>
      <c r="B41" s="1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inlineStr">
        <is>
          <t>ECL.GAE.087.1</t>
        </is>
      </c>
      <c r="AE41" s="5" t="n"/>
      <c r="AF41" s="5" t="n"/>
      <c r="AG41" s="5" t="n"/>
      <c r="AH41" s="5" t="n"/>
    </row>
  </sheetData>
  <mergeCells count="110">
    <mergeCell ref="M13:N14"/>
    <mergeCell ref="E12:R12"/>
    <mergeCell ref="H10:I10"/>
    <mergeCell ref="AF6:AH6"/>
    <mergeCell ref="Y12:Y14"/>
    <mergeCell ref="AE32:AF32"/>
    <mergeCell ref="Z27:AD27"/>
    <mergeCell ref="V39:X39"/>
    <mergeCell ref="H9:I9"/>
    <mergeCell ref="AE12:AF14"/>
    <mergeCell ref="Z25:AD25"/>
    <mergeCell ref="D13:D14"/>
    <mergeCell ref="AE33:AF33"/>
    <mergeCell ref="AG27:AH27"/>
    <mergeCell ref="AE17:AF17"/>
    <mergeCell ref="AG17:AH17"/>
    <mergeCell ref="Z17:AD17"/>
    <mergeCell ref="B12:B14"/>
    <mergeCell ref="AG19:AH19"/>
    <mergeCell ref="AB6:AD6"/>
    <mergeCell ref="AE34:AF34"/>
    <mergeCell ref="Z20:AD20"/>
    <mergeCell ref="AE36:AF36"/>
    <mergeCell ref="Z31:AD31"/>
    <mergeCell ref="Y5:AA5"/>
    <mergeCell ref="AG20:AH20"/>
    <mergeCell ref="A12:A14"/>
    <mergeCell ref="Y2:AA2"/>
    <mergeCell ref="AG29:AH29"/>
    <mergeCell ref="AE22:AF22"/>
    <mergeCell ref="AG22:AH22"/>
    <mergeCell ref="AE31:AF31"/>
    <mergeCell ref="AG31:AH31"/>
    <mergeCell ref="Z32:AD32"/>
    <mergeCell ref="Z26:AD26"/>
    <mergeCell ref="I13:J14"/>
    <mergeCell ref="Y6:AA6"/>
    <mergeCell ref="K13:L14"/>
    <mergeCell ref="AE21:AF21"/>
    <mergeCell ref="AG21:AH21"/>
    <mergeCell ref="Z16:AD16"/>
    <mergeCell ref="T8:V8"/>
    <mergeCell ref="AE23:AF23"/>
    <mergeCell ref="O13:P14"/>
    <mergeCell ref="AG32:AH32"/>
    <mergeCell ref="Q13:R14"/>
    <mergeCell ref="Z18:AD18"/>
    <mergeCell ref="C6:X6"/>
    <mergeCell ref="AG16:AH16"/>
    <mergeCell ref="Z33:AD33"/>
    <mergeCell ref="AB1:AH1"/>
    <mergeCell ref="AG18:AH18"/>
    <mergeCell ref="Z35:AD35"/>
    <mergeCell ref="S12:X12"/>
    <mergeCell ref="Z19:AD19"/>
    <mergeCell ref="AG33:AH33"/>
    <mergeCell ref="Z34:AD34"/>
    <mergeCell ref="Z28:AD28"/>
    <mergeCell ref="AE27:AF27"/>
    <mergeCell ref="AB2:AH2"/>
    <mergeCell ref="C1:X3"/>
    <mergeCell ref="AG35:AH35"/>
    <mergeCell ref="Z36:AD36"/>
    <mergeCell ref="Z30:AD30"/>
    <mergeCell ref="AE20:AF20"/>
    <mergeCell ref="AE25:AF25"/>
    <mergeCell ref="AD39:AH39"/>
    <mergeCell ref="AG25:AH25"/>
    <mergeCell ref="AG34:AH34"/>
    <mergeCell ref="AE35:AF35"/>
    <mergeCell ref="T7:V7"/>
    <mergeCell ref="C12:D12"/>
    <mergeCell ref="Z12:AD14"/>
    <mergeCell ref="AE29:AF29"/>
    <mergeCell ref="C5:X5"/>
    <mergeCell ref="E13:F14"/>
    <mergeCell ref="G13:H14"/>
    <mergeCell ref="AG12:AH14"/>
    <mergeCell ref="AE37:AF37"/>
    <mergeCell ref="AE15:AF15"/>
    <mergeCell ref="AG15:AH15"/>
    <mergeCell ref="AE24:AF24"/>
    <mergeCell ref="AG24:AH24"/>
    <mergeCell ref="Z24:AD24"/>
    <mergeCell ref="AE26:AF26"/>
    <mergeCell ref="AG26:AH26"/>
    <mergeCell ref="T9:V9"/>
    <mergeCell ref="Y1:AA1"/>
    <mergeCell ref="AE16:AF16"/>
    <mergeCell ref="T11:V11"/>
    <mergeCell ref="AE18:AF18"/>
    <mergeCell ref="AB3:AH3"/>
    <mergeCell ref="Z22:AD22"/>
    <mergeCell ref="AG36:AH36"/>
    <mergeCell ref="Z37:AD37"/>
    <mergeCell ref="AB5:AH5"/>
    <mergeCell ref="Z21:AD21"/>
    <mergeCell ref="AE28:AF28"/>
    <mergeCell ref="AG28:AH28"/>
    <mergeCell ref="Z29:AD29"/>
    <mergeCell ref="Z23:AD23"/>
    <mergeCell ref="AG37:AH37"/>
    <mergeCell ref="Y3:AA3"/>
    <mergeCell ref="T13:U13"/>
    <mergeCell ref="AE30:AF30"/>
    <mergeCell ref="AG30:AH30"/>
    <mergeCell ref="Z15:AD15"/>
    <mergeCell ref="H8:I8"/>
    <mergeCell ref="AG23:AH23"/>
    <mergeCell ref="T10:V10"/>
  </mergeCells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2026-09-25T08:13:49Z</dcterms:created>
  <dcterms:modified xsi:type="dcterms:W3CDTF">2026-09-25T08:13:49Z</dcterms:modified>
</cp:coreProperties>
</file>